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1"/>
  </bookViews>
  <sheets>
    <sheet name="Adatok" sheetId="1" state="visible" r:id="rId1"/>
    <sheet name="Feladat" sheetId="2" state="visible" r:id="rId2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<sst xmlns="http://schemas.openxmlformats.org/spreadsheetml/2006/main" count="31" uniqueCount="31">
  <si>
    <t>ID</t>
  </si>
  <si>
    <t>Csoport</t>
  </si>
  <si>
    <t>Pontszám</t>
  </si>
  <si>
    <t xml:space="preserve">Tanulási idő (óra/hét)</t>
  </si>
  <si>
    <t xml:space="preserve">Hiányzások (db)</t>
  </si>
  <si>
    <t xml:space="preserve">Pontszám_A (0 ha nem A)</t>
  </si>
  <si>
    <t xml:space="preserve">Pontszám_B (0 ha nem B)</t>
  </si>
  <si>
    <t>A^2</t>
  </si>
  <si>
    <t>B^2</t>
  </si>
  <si>
    <t>A</t>
  </si>
  <si>
    <t>B</t>
  </si>
  <si>
    <t xml:space="preserve">Excel feladat – Statisztikai függvények (szórás + hisztogram kötelező)</t>
  </si>
  <si>
    <t xml:space="preserve">Adott az „Adatok” munkalapon 48 tanuló adata két csoportban (A és B).</t>
  </si>
  <si>
    <t xml:space="preserve">A feladatod: leíró statisztikák számítása, hisztogram készítése, és csoportok összehasonlítása.</t>
  </si>
  <si>
    <t/>
  </si>
  <si>
    <t xml:space="preserve">1) Leíró statisztikák (összes tanuló) – a „Pontszám” oszlopra</t>
  </si>
  <si>
    <t xml:space="preserve">   - DARAB , ÁTLAG , MEDIÁN , MÓDUSZ , MIN, MAX, TERJEDELEM (max-min)</t>
  </si>
  <si>
    <t xml:space="preserve">   - SZÓRÁS  és VARIANCIA </t>
  </si>
  <si>
    <t xml:space="preserve">   - Q1, Q3 (KVARTILIS) </t>
  </si>
  <si>
    <t xml:space="preserve">2) Hisztogram (Pontszám)</t>
  </si>
  <si>
    <t xml:space="preserve">   - 10 pontos osztályközök: 0–10, 10–20, …, 90–100</t>
  </si>
  <si>
    <t xml:space="preserve">   - Gyakorisági tábla DARABTELI-szel, majd oszlopdiagram (hisztogram).</t>
  </si>
  <si>
    <t xml:space="preserve">3) Csoport-összehasonlítás (A vs B)</t>
  </si>
  <si>
    <t xml:space="preserve">   - Átlag A és Átlag B</t>
  </si>
  <si>
    <t xml:space="preserve">   - Szórás A és Szórás B (mintaszórás) – használhatod a képletet:</t>
  </si>
  <si>
    <t xml:space="preserve">     s = GYÖK( (Σx^2 − (Σx)^2/n) / (n−1) )</t>
  </si>
  <si>
    <t xml:space="preserve">     Segítség: az Adatok lapon a csoportonkénti 0/érték segédoszlopok és négyzetek (A^2, B^2) elő vannak készítve.</t>
  </si>
  <si>
    <t xml:space="preserve">   - Relatív szórás (CV = szórás / átlag) mindkét csoportra</t>
  </si>
  <si>
    <t xml:space="preserve">4) Extra</t>
  </si>
  <si>
    <t xml:space="preserve">   - Hány tanuló ért el legalább 80 pontot? (DARABTELI)</t>
  </si>
  <si>
    <t xml:space="preserve">   - Korreláció: Tanulási idő vs Pontszám (KORREL)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</si>
</sst>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1.000000"/>
      <color theme="1"/>
      <name val="Calibri"/>
      <scheme val="minor"/>
    </font>
    <font>
      <b/>
      <color indexed="65"/>
    </font>
    <font>
      <b/>
      <sz val="14.000000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rgb="FF9E9E9E"/>
      </left>
      <right style="thin">
        <color rgb="FF9E9E9E"/>
      </right>
      <top style="thin">
        <color rgb="FF9E9E9E"/>
      </top>
      <bottom style="thin">
        <color rgb="FF9E9E9E"/>
      </bottom>
      <diagonal style="none"/>
    </border>
  </borders>
  <cellStyleXfs count="2">
    <xf fontId="0" fillId="0" borderId="0" numFmtId="0" applyNumberFormat="1" applyFont="1" applyFill="1" applyBorder="1"/>
    <xf fontId="0" fillId="0" borderId="0" numFmtId="0" applyNumberFormat="1" applyFont="1" applyFill="1" applyBorder="1"/>
  </cellStyleXfs>
  <cellXfs count="6">
    <xf fontId="0" fillId="0" borderId="0" numFmtId="0" xfId="0"/>
    <xf fontId="1" fillId="2" borderId="1" numFmtId="0" xfId="0" applyFont="1" applyFill="1" applyBorder="1" applyAlignment="1">
      <alignment horizontal="center" vertical="center" wrapText="1"/>
    </xf>
    <xf fontId="0" fillId="0" borderId="1" numFmtId="0" xfId="0" applyBorder="1" applyAlignment="1">
      <alignment horizontal="center" vertical="center" wrapText="1"/>
    </xf>
    <xf fontId="2" fillId="0" borderId="0" numFmtId="0" xfId="0" applyFont="1" applyAlignment="1">
      <alignment horizontal="left" vertical="center" wrapText="1"/>
    </xf>
    <xf fontId="0" fillId="0" borderId="0" numFmtId="0" xfId="0" applyAlignment="1">
      <alignment vertical="top" wrapText="1"/>
    </xf>
    <xf fontId="0" fillId="0" borderId="0" numFmtId="0" xfId="0" applyAlignment="1">
      <alignment vertical="top" wrapText="1"/>
    </xf>
  </cellXfs>
  <cellStyles count="2">
    <cellStyle name="Normal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selection activeCell="A1" activeCellId="0" sqref="A1"/>
    </sheetView>
  </sheetViews>
  <sheetFormatPr defaultRowHeight="15"/>
  <cols>
    <col customWidth="1" min="1" max="1" width="6"/>
    <col customWidth="1" min="2" max="3" width="10"/>
    <col customWidth="1" min="4" max="4" width="22"/>
    <col customWidth="1" min="5" max="5" width="16"/>
    <col customWidth="1" min="6" max="7" width="20"/>
    <col customWidth="1" min="8" max="9" width="1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>
        <v>1</v>
      </c>
      <c r="B2" s="2" t="s">
        <v>9</v>
      </c>
      <c r="C2" s="2">
        <v>69</v>
      </c>
      <c r="D2" s="2">
        <v>5.7000000000000002</v>
      </c>
      <c r="E2" s="2">
        <v>1</v>
      </c>
      <c r="F2" s="2">
        <f t="shared" ref="F2:F9" si="0">IF($B2="A",$C2,0)</f>
        <v>69</v>
      </c>
      <c r="G2" s="2">
        <f t="shared" ref="G2:G9" si="1">IF($B2="B",$C2,0)</f>
        <v>0</v>
      </c>
      <c r="H2" s="2">
        <f t="shared" ref="H2:H9" si="2">$F2^2</f>
        <v>4761</v>
      </c>
      <c r="I2" s="2">
        <f t="shared" ref="I2:I9" si="3">$G2^2</f>
        <v>0</v>
      </c>
    </row>
    <row r="3">
      <c r="A3" s="2">
        <v>2</v>
      </c>
      <c r="B3" s="2" t="s">
        <v>9</v>
      </c>
      <c r="C3" s="2">
        <v>59</v>
      </c>
      <c r="D3" s="2">
        <v>7.2999999999999998</v>
      </c>
      <c r="E3" s="2">
        <v>1</v>
      </c>
      <c r="F3" s="2">
        <f t="shared" si="0"/>
        <v>59</v>
      </c>
      <c r="G3" s="2">
        <f t="shared" si="1"/>
        <v>0</v>
      </c>
      <c r="H3" s="2">
        <f t="shared" si="2"/>
        <v>3481</v>
      </c>
      <c r="I3" s="2">
        <f t="shared" si="3"/>
        <v>0</v>
      </c>
    </row>
    <row r="4">
      <c r="A4" s="2">
        <v>3</v>
      </c>
      <c r="B4" s="2" t="s">
        <v>9</v>
      </c>
      <c r="C4" s="2">
        <v>70</v>
      </c>
      <c r="D4" s="2">
        <v>6.5999999999999996</v>
      </c>
      <c r="E4" s="2">
        <v>1</v>
      </c>
      <c r="F4" s="2">
        <f t="shared" si="0"/>
        <v>70</v>
      </c>
      <c r="G4" s="2">
        <f t="shared" si="1"/>
        <v>0</v>
      </c>
      <c r="H4" s="2">
        <f t="shared" si="2"/>
        <v>4900</v>
      </c>
      <c r="I4" s="2">
        <f t="shared" si="3"/>
        <v>0</v>
      </c>
    </row>
    <row r="5">
      <c r="A5" s="2">
        <v>4</v>
      </c>
      <c r="B5" s="2" t="s">
        <v>9</v>
      </c>
      <c r="C5" s="2">
        <v>82</v>
      </c>
      <c r="D5" s="2">
        <v>6.2000000000000002</v>
      </c>
      <c r="E5" s="2">
        <v>2</v>
      </c>
      <c r="F5" s="2">
        <f t="shared" si="0"/>
        <v>82</v>
      </c>
      <c r="G5" s="2">
        <f t="shared" si="1"/>
        <v>0</v>
      </c>
      <c r="H5" s="2">
        <f t="shared" si="2"/>
        <v>6724</v>
      </c>
      <c r="I5" s="2">
        <f t="shared" si="3"/>
        <v>0</v>
      </c>
    </row>
    <row r="6">
      <c r="A6" s="2">
        <v>5</v>
      </c>
      <c r="B6" s="2" t="s">
        <v>9</v>
      </c>
      <c r="C6" s="2">
        <v>65</v>
      </c>
      <c r="D6" s="2">
        <v>7.2000000000000002</v>
      </c>
      <c r="E6" s="2">
        <v>2</v>
      </c>
      <c r="F6" s="2">
        <f t="shared" si="0"/>
        <v>65</v>
      </c>
      <c r="G6" s="2">
        <f t="shared" si="1"/>
        <v>0</v>
      </c>
      <c r="H6" s="2">
        <f t="shared" si="2"/>
        <v>4225</v>
      </c>
      <c r="I6" s="2">
        <f t="shared" si="3"/>
        <v>0</v>
      </c>
    </row>
    <row r="7">
      <c r="A7" s="2">
        <v>6</v>
      </c>
      <c r="B7" s="2" t="s">
        <v>9</v>
      </c>
      <c r="C7" s="2">
        <v>78</v>
      </c>
      <c r="D7" s="2">
        <v>4.2000000000000002</v>
      </c>
      <c r="E7" s="2">
        <v>2</v>
      </c>
      <c r="F7" s="2">
        <f t="shared" si="0"/>
        <v>78</v>
      </c>
      <c r="G7" s="2">
        <f t="shared" si="1"/>
        <v>0</v>
      </c>
      <c r="H7" s="2">
        <f t="shared" si="2"/>
        <v>6084</v>
      </c>
      <c r="I7" s="2">
        <f t="shared" si="3"/>
        <v>0</v>
      </c>
    </row>
    <row r="8">
      <c r="A8" s="2">
        <v>7</v>
      </c>
      <c r="B8" s="2" t="s">
        <v>9</v>
      </c>
      <c r="C8" s="2">
        <v>76</v>
      </c>
      <c r="D8" s="2">
        <v>6.0999999999999996</v>
      </c>
      <c r="E8" s="2">
        <v>1</v>
      </c>
      <c r="F8" s="2">
        <f t="shared" si="0"/>
        <v>76</v>
      </c>
      <c r="G8" s="2">
        <f t="shared" si="1"/>
        <v>0</v>
      </c>
      <c r="H8" s="2">
        <f t="shared" si="2"/>
        <v>5776</v>
      </c>
      <c r="I8" s="2">
        <f t="shared" si="3"/>
        <v>0</v>
      </c>
    </row>
    <row r="9">
      <c r="A9" s="2">
        <v>8</v>
      </c>
      <c r="B9" s="2" t="s">
        <v>9</v>
      </c>
      <c r="C9" s="2">
        <v>69</v>
      </c>
      <c r="D9" s="2">
        <v>3.3999999999999999</v>
      </c>
      <c r="E9" s="2">
        <v>1</v>
      </c>
      <c r="F9" s="2">
        <f t="shared" si="0"/>
        <v>69</v>
      </c>
      <c r="G9" s="2">
        <f t="shared" si="1"/>
        <v>0</v>
      </c>
      <c r="H9" s="2">
        <f t="shared" si="2"/>
        <v>4761</v>
      </c>
      <c r="I9" s="2">
        <f t="shared" si="3"/>
        <v>0</v>
      </c>
    </row>
    <row r="10">
      <c r="A10" s="2">
        <v>9</v>
      </c>
      <c r="B10" s="2" t="s">
        <v>9</v>
      </c>
      <c r="C10" s="2">
        <v>78</v>
      </c>
      <c r="D10" s="2">
        <v>7.5999999999999996</v>
      </c>
      <c r="E10" s="2">
        <v>1</v>
      </c>
      <c r="F10" s="2">
        <f t="shared" ref="F10:F49" si="4">IF($B10="A",$C10,0)</f>
        <v>78</v>
      </c>
      <c r="G10" s="2">
        <f t="shared" ref="G10:G49" si="5">IF($B10="B",$C10,0)</f>
        <v>0</v>
      </c>
      <c r="H10" s="2">
        <f t="shared" ref="H10:H49" si="6">$F10^2</f>
        <v>6084</v>
      </c>
      <c r="I10" s="2">
        <f t="shared" ref="I10:I49" si="7">$G10^2</f>
        <v>0</v>
      </c>
    </row>
    <row r="11">
      <c r="A11" s="2">
        <v>10</v>
      </c>
      <c r="B11" s="2" t="s">
        <v>9</v>
      </c>
      <c r="C11" s="2">
        <v>58</v>
      </c>
      <c r="D11" s="2">
        <v>6.4000000000000004</v>
      </c>
      <c r="E11" s="2">
        <v>3</v>
      </c>
      <c r="F11" s="2">
        <f t="shared" si="4"/>
        <v>58</v>
      </c>
      <c r="G11" s="2">
        <f t="shared" si="5"/>
        <v>0</v>
      </c>
      <c r="H11" s="2">
        <f t="shared" si="6"/>
        <v>3364</v>
      </c>
      <c r="I11" s="2">
        <f t="shared" si="7"/>
        <v>0</v>
      </c>
    </row>
    <row r="12">
      <c r="A12" s="2">
        <v>11</v>
      </c>
      <c r="B12" s="2" t="s">
        <v>9</v>
      </c>
      <c r="C12" s="2">
        <v>48</v>
      </c>
      <c r="D12" s="2">
        <v>7</v>
      </c>
      <c r="E12" s="2">
        <v>0</v>
      </c>
      <c r="F12" s="2">
        <f t="shared" si="4"/>
        <v>48</v>
      </c>
      <c r="G12" s="2">
        <f t="shared" si="5"/>
        <v>0</v>
      </c>
      <c r="H12" s="2">
        <f t="shared" si="6"/>
        <v>2304</v>
      </c>
      <c r="I12" s="2">
        <f t="shared" si="7"/>
        <v>0</v>
      </c>
    </row>
    <row r="13">
      <c r="A13" s="2">
        <v>12</v>
      </c>
      <c r="B13" s="2" t="s">
        <v>9</v>
      </c>
      <c r="C13" s="2">
        <v>78</v>
      </c>
      <c r="D13" s="2">
        <v>4.9000000000000004</v>
      </c>
      <c r="E13" s="2">
        <v>0</v>
      </c>
      <c r="F13" s="2">
        <f t="shared" si="4"/>
        <v>78</v>
      </c>
      <c r="G13" s="2">
        <f t="shared" si="5"/>
        <v>0</v>
      </c>
      <c r="H13" s="2">
        <f t="shared" si="6"/>
        <v>6084</v>
      </c>
      <c r="I13" s="2">
        <f t="shared" si="7"/>
        <v>0</v>
      </c>
    </row>
    <row r="14">
      <c r="A14" s="2">
        <v>13</v>
      </c>
      <c r="B14" s="2" t="s">
        <v>9</v>
      </c>
      <c r="C14" s="2">
        <v>83</v>
      </c>
      <c r="D14" s="2">
        <v>7.2000000000000002</v>
      </c>
      <c r="E14" s="2">
        <v>0</v>
      </c>
      <c r="F14" s="2">
        <f t="shared" si="4"/>
        <v>83</v>
      </c>
      <c r="G14" s="2">
        <f t="shared" si="5"/>
        <v>0</v>
      </c>
      <c r="H14" s="2">
        <f t="shared" si="6"/>
        <v>6889</v>
      </c>
      <c r="I14" s="2">
        <f t="shared" si="7"/>
        <v>0</v>
      </c>
    </row>
    <row r="15">
      <c r="A15" s="2">
        <v>14</v>
      </c>
      <c r="B15" s="2" t="s">
        <v>9</v>
      </c>
      <c r="C15" s="2">
        <v>63</v>
      </c>
      <c r="D15" s="2">
        <v>4.2000000000000002</v>
      </c>
      <c r="E15" s="2">
        <v>1</v>
      </c>
      <c r="F15" s="2">
        <f t="shared" si="4"/>
        <v>63</v>
      </c>
      <c r="G15" s="2">
        <f t="shared" si="5"/>
        <v>0</v>
      </c>
      <c r="H15" s="2">
        <f t="shared" si="6"/>
        <v>3969</v>
      </c>
      <c r="I15" s="2">
        <f t="shared" si="7"/>
        <v>0</v>
      </c>
    </row>
    <row r="16">
      <c r="A16" s="2">
        <v>15</v>
      </c>
      <c r="B16" s="2" t="s">
        <v>9</v>
      </c>
      <c r="C16" s="2">
        <v>75</v>
      </c>
      <c r="D16" s="2">
        <v>6.2000000000000002</v>
      </c>
      <c r="E16" s="2">
        <v>3</v>
      </c>
      <c r="F16" s="2">
        <f t="shared" si="4"/>
        <v>75</v>
      </c>
      <c r="G16" s="2">
        <f t="shared" si="5"/>
        <v>0</v>
      </c>
      <c r="H16" s="2">
        <f t="shared" si="6"/>
        <v>5625</v>
      </c>
      <c r="I16" s="2">
        <f t="shared" si="7"/>
        <v>0</v>
      </c>
    </row>
    <row r="17">
      <c r="A17" s="2">
        <v>16</v>
      </c>
      <c r="B17" s="2" t="s">
        <v>9</v>
      </c>
      <c r="C17" s="2">
        <v>76</v>
      </c>
      <c r="D17" s="2">
        <v>6.5999999999999996</v>
      </c>
      <c r="E17" s="2">
        <v>2</v>
      </c>
      <c r="F17" s="2">
        <f t="shared" si="4"/>
        <v>76</v>
      </c>
      <c r="G17" s="2">
        <f t="shared" si="5"/>
        <v>0</v>
      </c>
      <c r="H17" s="2">
        <f t="shared" si="6"/>
        <v>5776</v>
      </c>
      <c r="I17" s="2">
        <f t="shared" si="7"/>
        <v>0</v>
      </c>
    </row>
    <row r="18">
      <c r="A18" s="2">
        <v>17</v>
      </c>
      <c r="B18" s="2" t="s">
        <v>9</v>
      </c>
      <c r="C18" s="2">
        <v>64</v>
      </c>
      <c r="D18" s="2">
        <v>4.9000000000000004</v>
      </c>
      <c r="E18" s="2">
        <v>0</v>
      </c>
      <c r="F18" s="2">
        <f t="shared" si="4"/>
        <v>64</v>
      </c>
      <c r="G18" s="2">
        <f t="shared" si="5"/>
        <v>0</v>
      </c>
      <c r="H18" s="2">
        <f t="shared" si="6"/>
        <v>4096</v>
      </c>
      <c r="I18" s="2">
        <f t="shared" si="7"/>
        <v>0</v>
      </c>
    </row>
    <row r="19">
      <c r="A19" s="2">
        <v>18</v>
      </c>
      <c r="B19" s="2" t="s">
        <v>9</v>
      </c>
      <c r="C19" s="2">
        <v>96</v>
      </c>
      <c r="D19" s="2">
        <v>6.9000000000000004</v>
      </c>
      <c r="E19" s="2">
        <v>1</v>
      </c>
      <c r="F19" s="2">
        <f t="shared" si="4"/>
        <v>96</v>
      </c>
      <c r="G19" s="2">
        <f t="shared" si="5"/>
        <v>0</v>
      </c>
      <c r="H19" s="2">
        <f t="shared" si="6"/>
        <v>9216</v>
      </c>
      <c r="I19" s="2">
        <f t="shared" si="7"/>
        <v>0</v>
      </c>
    </row>
    <row r="20">
      <c r="A20" s="2">
        <v>19</v>
      </c>
      <c r="B20" s="2" t="s">
        <v>9</v>
      </c>
      <c r="C20" s="2">
        <v>76</v>
      </c>
      <c r="D20" s="2">
        <v>4.5</v>
      </c>
      <c r="E20" s="2">
        <v>0</v>
      </c>
      <c r="F20" s="2">
        <f t="shared" si="4"/>
        <v>76</v>
      </c>
      <c r="G20" s="2">
        <f t="shared" si="5"/>
        <v>0</v>
      </c>
      <c r="H20" s="2">
        <f t="shared" si="6"/>
        <v>5776</v>
      </c>
      <c r="I20" s="2">
        <f t="shared" si="7"/>
        <v>0</v>
      </c>
    </row>
    <row r="21">
      <c r="A21" s="2">
        <v>20</v>
      </c>
      <c r="B21" s="2" t="s">
        <v>9</v>
      </c>
      <c r="C21" s="2">
        <v>84</v>
      </c>
      <c r="D21" s="2">
        <v>8.5999999999999996</v>
      </c>
      <c r="E21" s="2">
        <v>2</v>
      </c>
      <c r="F21" s="2">
        <f t="shared" si="4"/>
        <v>84</v>
      </c>
      <c r="G21" s="2">
        <f t="shared" si="5"/>
        <v>0</v>
      </c>
      <c r="H21" s="2">
        <f t="shared" si="6"/>
        <v>7056</v>
      </c>
      <c r="I21" s="2">
        <f t="shared" si="7"/>
        <v>0</v>
      </c>
    </row>
    <row r="22">
      <c r="A22" s="2">
        <v>21</v>
      </c>
      <c r="B22" s="2" t="s">
        <v>9</v>
      </c>
      <c r="C22" s="2">
        <v>63</v>
      </c>
      <c r="D22" s="2">
        <v>8.5999999999999996</v>
      </c>
      <c r="E22" s="2">
        <v>1</v>
      </c>
      <c r="F22" s="2">
        <f t="shared" si="4"/>
        <v>63</v>
      </c>
      <c r="G22" s="2">
        <f t="shared" si="5"/>
        <v>0</v>
      </c>
      <c r="H22" s="2">
        <f t="shared" si="6"/>
        <v>3969</v>
      </c>
      <c r="I22" s="2">
        <f t="shared" si="7"/>
        <v>0</v>
      </c>
    </row>
    <row r="23">
      <c r="A23" s="2">
        <v>22</v>
      </c>
      <c r="B23" s="2" t="s">
        <v>9</v>
      </c>
      <c r="C23" s="2">
        <v>52</v>
      </c>
      <c r="D23" s="2">
        <v>5</v>
      </c>
      <c r="E23" s="2">
        <v>3</v>
      </c>
      <c r="F23" s="2">
        <f t="shared" si="4"/>
        <v>52</v>
      </c>
      <c r="G23" s="2">
        <f t="shared" si="5"/>
        <v>0</v>
      </c>
      <c r="H23" s="2">
        <f t="shared" si="6"/>
        <v>2704</v>
      </c>
      <c r="I23" s="2">
        <f t="shared" si="7"/>
        <v>0</v>
      </c>
    </row>
    <row r="24">
      <c r="A24" s="2">
        <v>23</v>
      </c>
      <c r="B24" s="2" t="s">
        <v>9</v>
      </c>
      <c r="C24" s="2">
        <v>67</v>
      </c>
      <c r="D24" s="2">
        <v>6.0999999999999996</v>
      </c>
      <c r="E24" s="2">
        <v>2</v>
      </c>
      <c r="F24" s="2">
        <f t="shared" si="4"/>
        <v>67</v>
      </c>
      <c r="G24" s="2">
        <f t="shared" si="5"/>
        <v>0</v>
      </c>
      <c r="H24" s="2">
        <f t="shared" si="6"/>
        <v>4489</v>
      </c>
      <c r="I24" s="2">
        <f t="shared" si="7"/>
        <v>0</v>
      </c>
    </row>
    <row r="25">
      <c r="A25" s="2">
        <v>24</v>
      </c>
      <c r="B25" s="2" t="s">
        <v>9</v>
      </c>
      <c r="C25" s="2">
        <v>96</v>
      </c>
      <c r="D25" s="2">
        <v>7.2999999999999998</v>
      </c>
      <c r="E25" s="2">
        <v>2</v>
      </c>
      <c r="F25" s="2">
        <f t="shared" si="4"/>
        <v>96</v>
      </c>
      <c r="G25" s="2">
        <f t="shared" si="5"/>
        <v>0</v>
      </c>
      <c r="H25" s="2">
        <f t="shared" si="6"/>
        <v>9216</v>
      </c>
      <c r="I25" s="2">
        <f t="shared" si="7"/>
        <v>0</v>
      </c>
    </row>
    <row r="26">
      <c r="A26" s="2">
        <v>25</v>
      </c>
      <c r="B26" s="2" t="s">
        <v>10</v>
      </c>
      <c r="C26" s="2">
        <v>63</v>
      </c>
      <c r="D26" s="2">
        <v>6.4000000000000004</v>
      </c>
      <c r="E26" s="2">
        <v>1</v>
      </c>
      <c r="F26" s="2">
        <f t="shared" si="4"/>
        <v>0</v>
      </c>
      <c r="G26" s="2">
        <f t="shared" si="5"/>
        <v>63</v>
      </c>
      <c r="H26" s="2">
        <f t="shared" si="6"/>
        <v>0</v>
      </c>
      <c r="I26" s="2">
        <f t="shared" si="7"/>
        <v>3969</v>
      </c>
    </row>
    <row r="27">
      <c r="A27" s="2">
        <v>26</v>
      </c>
      <c r="B27" s="2" t="s">
        <v>10</v>
      </c>
      <c r="C27" s="2">
        <v>52</v>
      </c>
      <c r="D27" s="2">
        <v>3.5</v>
      </c>
      <c r="E27" s="2">
        <v>4</v>
      </c>
      <c r="F27" s="2">
        <f t="shared" si="4"/>
        <v>0</v>
      </c>
      <c r="G27" s="2">
        <f t="shared" si="5"/>
        <v>52</v>
      </c>
      <c r="H27" s="2">
        <f t="shared" si="6"/>
        <v>0</v>
      </c>
      <c r="I27" s="2">
        <f t="shared" si="7"/>
        <v>2704</v>
      </c>
    </row>
    <row r="28">
      <c r="A28" s="2">
        <v>27</v>
      </c>
      <c r="B28" s="2" t="s">
        <v>10</v>
      </c>
      <c r="C28" s="2">
        <v>53</v>
      </c>
      <c r="D28" s="2">
        <v>5.0999999999999996</v>
      </c>
      <c r="E28" s="2">
        <v>4</v>
      </c>
      <c r="F28" s="2">
        <f t="shared" si="4"/>
        <v>0</v>
      </c>
      <c r="G28" s="2">
        <f t="shared" si="5"/>
        <v>53</v>
      </c>
      <c r="H28" s="2">
        <f t="shared" si="6"/>
        <v>0</v>
      </c>
      <c r="I28" s="2">
        <f t="shared" si="7"/>
        <v>2809</v>
      </c>
    </row>
    <row r="29">
      <c r="A29" s="2">
        <v>28</v>
      </c>
      <c r="B29" s="2" t="s">
        <v>10</v>
      </c>
      <c r="C29" s="2">
        <v>54</v>
      </c>
      <c r="D29" s="2">
        <v>4.5999999999999996</v>
      </c>
      <c r="E29" s="2">
        <v>0</v>
      </c>
      <c r="F29" s="2">
        <f t="shared" si="4"/>
        <v>0</v>
      </c>
      <c r="G29" s="2">
        <f t="shared" si="5"/>
        <v>54</v>
      </c>
      <c r="H29" s="2">
        <f t="shared" si="6"/>
        <v>0</v>
      </c>
      <c r="I29" s="2">
        <f t="shared" si="7"/>
        <v>2916</v>
      </c>
    </row>
    <row r="30">
      <c r="A30" s="2">
        <v>29</v>
      </c>
      <c r="B30" s="2" t="s">
        <v>10</v>
      </c>
      <c r="C30" s="2">
        <v>76</v>
      </c>
      <c r="D30" s="2">
        <v>4.0999999999999996</v>
      </c>
      <c r="E30" s="2">
        <v>3</v>
      </c>
      <c r="F30" s="2">
        <f t="shared" si="4"/>
        <v>0</v>
      </c>
      <c r="G30" s="2">
        <f t="shared" si="5"/>
        <v>76</v>
      </c>
      <c r="H30" s="2">
        <f t="shared" si="6"/>
        <v>0</v>
      </c>
      <c r="I30" s="2">
        <f t="shared" si="7"/>
        <v>5776</v>
      </c>
    </row>
    <row r="31">
      <c r="A31" s="2">
        <v>30</v>
      </c>
      <c r="B31" s="2" t="s">
        <v>10</v>
      </c>
      <c r="C31" s="2">
        <v>66</v>
      </c>
      <c r="D31" s="2">
        <v>5.2000000000000002</v>
      </c>
      <c r="E31" s="2">
        <v>3</v>
      </c>
      <c r="F31" s="2">
        <f t="shared" si="4"/>
        <v>0</v>
      </c>
      <c r="G31" s="2">
        <f t="shared" si="5"/>
        <v>66</v>
      </c>
      <c r="H31" s="2">
        <f t="shared" si="6"/>
        <v>0</v>
      </c>
      <c r="I31" s="2">
        <f t="shared" si="7"/>
        <v>4356</v>
      </c>
    </row>
    <row r="32">
      <c r="A32" s="2">
        <v>31</v>
      </c>
      <c r="B32" s="2" t="s">
        <v>10</v>
      </c>
      <c r="C32" s="2">
        <v>70</v>
      </c>
      <c r="D32" s="2">
        <v>7.4000000000000004</v>
      </c>
      <c r="E32" s="2">
        <v>4</v>
      </c>
      <c r="F32" s="2">
        <f t="shared" si="4"/>
        <v>0</v>
      </c>
      <c r="G32" s="2">
        <f t="shared" si="5"/>
        <v>70</v>
      </c>
      <c r="H32" s="2">
        <f t="shared" si="6"/>
        <v>0</v>
      </c>
      <c r="I32" s="2">
        <f t="shared" si="7"/>
        <v>4900</v>
      </c>
    </row>
    <row r="33">
      <c r="A33" s="2">
        <v>32</v>
      </c>
      <c r="B33" s="2" t="s">
        <v>10</v>
      </c>
      <c r="C33" s="2">
        <v>63</v>
      </c>
      <c r="D33" s="2">
        <v>3.2000000000000002</v>
      </c>
      <c r="E33" s="2">
        <v>4</v>
      </c>
      <c r="F33" s="2">
        <f t="shared" si="4"/>
        <v>0</v>
      </c>
      <c r="G33" s="2">
        <f t="shared" si="5"/>
        <v>63</v>
      </c>
      <c r="H33" s="2">
        <f t="shared" si="6"/>
        <v>0</v>
      </c>
      <c r="I33" s="2">
        <f t="shared" si="7"/>
        <v>3969</v>
      </c>
    </row>
    <row r="34">
      <c r="A34" s="2">
        <v>33</v>
      </c>
      <c r="B34" s="2" t="s">
        <v>10</v>
      </c>
      <c r="C34" s="2">
        <v>94</v>
      </c>
      <c r="D34" s="2">
        <v>7.7000000000000002</v>
      </c>
      <c r="E34" s="2">
        <v>2</v>
      </c>
      <c r="F34" s="2">
        <f t="shared" si="4"/>
        <v>0</v>
      </c>
      <c r="G34" s="2">
        <f t="shared" si="5"/>
        <v>94</v>
      </c>
      <c r="H34" s="2">
        <f t="shared" si="6"/>
        <v>0</v>
      </c>
      <c r="I34" s="2">
        <f t="shared" si="7"/>
        <v>8836</v>
      </c>
    </row>
    <row r="35">
      <c r="A35" s="2">
        <v>34</v>
      </c>
      <c r="B35" s="2" t="s">
        <v>10</v>
      </c>
      <c r="C35" s="2">
        <v>61</v>
      </c>
      <c r="D35" s="2">
        <v>4.5</v>
      </c>
      <c r="E35" s="2">
        <v>5</v>
      </c>
      <c r="F35" s="2">
        <f t="shared" si="4"/>
        <v>0</v>
      </c>
      <c r="G35" s="2">
        <f t="shared" si="5"/>
        <v>61</v>
      </c>
      <c r="H35" s="2">
        <f t="shared" si="6"/>
        <v>0</v>
      </c>
      <c r="I35" s="2">
        <f t="shared" si="7"/>
        <v>3721</v>
      </c>
    </row>
    <row r="36">
      <c r="A36" s="2">
        <v>35</v>
      </c>
      <c r="B36" s="2" t="s">
        <v>10</v>
      </c>
      <c r="C36" s="2">
        <v>64</v>
      </c>
      <c r="D36" s="2">
        <v>4.2000000000000002</v>
      </c>
      <c r="E36" s="2">
        <v>0</v>
      </c>
      <c r="F36" s="2">
        <f t="shared" si="4"/>
        <v>0</v>
      </c>
      <c r="G36" s="2">
        <f t="shared" si="5"/>
        <v>64</v>
      </c>
      <c r="H36" s="2">
        <f t="shared" si="6"/>
        <v>0</v>
      </c>
      <c r="I36" s="2">
        <f t="shared" si="7"/>
        <v>4096</v>
      </c>
    </row>
    <row r="37">
      <c r="A37" s="2">
        <v>36</v>
      </c>
      <c r="B37" s="2" t="s">
        <v>10</v>
      </c>
      <c r="C37" s="2">
        <v>77</v>
      </c>
      <c r="D37" s="2">
        <v>8</v>
      </c>
      <c r="E37" s="2">
        <v>4</v>
      </c>
      <c r="F37" s="2">
        <f t="shared" si="4"/>
        <v>0</v>
      </c>
      <c r="G37" s="2">
        <f t="shared" si="5"/>
        <v>77</v>
      </c>
      <c r="H37" s="2">
        <f t="shared" si="6"/>
        <v>0</v>
      </c>
      <c r="I37" s="2">
        <f t="shared" si="7"/>
        <v>5929</v>
      </c>
    </row>
    <row r="38">
      <c r="A38" s="2">
        <v>37</v>
      </c>
      <c r="B38" s="2" t="s">
        <v>10</v>
      </c>
      <c r="C38" s="2">
        <v>59</v>
      </c>
      <c r="D38" s="2">
        <v>0.40000000000000002</v>
      </c>
      <c r="E38" s="2">
        <v>4</v>
      </c>
      <c r="F38" s="2">
        <f t="shared" si="4"/>
        <v>0</v>
      </c>
      <c r="G38" s="2">
        <f t="shared" si="5"/>
        <v>59</v>
      </c>
      <c r="H38" s="2">
        <f t="shared" si="6"/>
        <v>0</v>
      </c>
      <c r="I38" s="2">
        <f t="shared" si="7"/>
        <v>3481</v>
      </c>
    </row>
    <row r="39">
      <c r="A39" s="2">
        <v>38</v>
      </c>
      <c r="B39" s="2" t="s">
        <v>10</v>
      </c>
      <c r="C39" s="2">
        <v>64</v>
      </c>
      <c r="D39" s="2">
        <v>4.0999999999999996</v>
      </c>
      <c r="E39" s="2">
        <v>1</v>
      </c>
      <c r="F39" s="2">
        <f t="shared" si="4"/>
        <v>0</v>
      </c>
      <c r="G39" s="2">
        <f t="shared" si="5"/>
        <v>64</v>
      </c>
      <c r="H39" s="2">
        <f t="shared" si="6"/>
        <v>0</v>
      </c>
      <c r="I39" s="2">
        <f t="shared" si="7"/>
        <v>4096</v>
      </c>
    </row>
    <row r="40">
      <c r="A40" s="2">
        <v>39</v>
      </c>
      <c r="B40" s="2" t="s">
        <v>10</v>
      </c>
      <c r="C40" s="2">
        <v>69</v>
      </c>
      <c r="D40" s="2">
        <v>8.5999999999999996</v>
      </c>
      <c r="E40" s="2">
        <v>1</v>
      </c>
      <c r="F40" s="2">
        <f t="shared" si="4"/>
        <v>0</v>
      </c>
      <c r="G40" s="2">
        <f t="shared" si="5"/>
        <v>69</v>
      </c>
      <c r="H40" s="2">
        <f t="shared" si="6"/>
        <v>0</v>
      </c>
      <c r="I40" s="2">
        <f t="shared" si="7"/>
        <v>4761</v>
      </c>
    </row>
    <row r="41">
      <c r="A41" s="2">
        <v>40</v>
      </c>
      <c r="B41" s="2" t="s">
        <v>10</v>
      </c>
      <c r="C41" s="2">
        <v>67</v>
      </c>
      <c r="D41" s="2">
        <v>7.9000000000000004</v>
      </c>
      <c r="E41" s="2">
        <v>2</v>
      </c>
      <c r="F41" s="2">
        <f t="shared" si="4"/>
        <v>0</v>
      </c>
      <c r="G41" s="2">
        <f t="shared" si="5"/>
        <v>67</v>
      </c>
      <c r="H41" s="2">
        <f t="shared" si="6"/>
        <v>0</v>
      </c>
      <c r="I41" s="2">
        <f t="shared" si="7"/>
        <v>4489</v>
      </c>
    </row>
    <row r="42">
      <c r="A42" s="2">
        <v>41</v>
      </c>
      <c r="B42" s="2" t="s">
        <v>10</v>
      </c>
      <c r="C42" s="2">
        <v>71</v>
      </c>
      <c r="D42" s="2">
        <v>5.4000000000000004</v>
      </c>
      <c r="E42" s="2">
        <v>0</v>
      </c>
      <c r="F42" s="2">
        <f t="shared" si="4"/>
        <v>0</v>
      </c>
      <c r="G42" s="2">
        <f t="shared" si="5"/>
        <v>71</v>
      </c>
      <c r="H42" s="2">
        <f t="shared" si="6"/>
        <v>0</v>
      </c>
      <c r="I42" s="2">
        <f t="shared" si="7"/>
        <v>5041</v>
      </c>
    </row>
    <row r="43">
      <c r="A43" s="2">
        <v>42</v>
      </c>
      <c r="B43" s="2" t="s">
        <v>10</v>
      </c>
      <c r="C43" s="2">
        <v>57</v>
      </c>
      <c r="D43" s="2">
        <v>2.7999999999999998</v>
      </c>
      <c r="E43" s="2">
        <v>4</v>
      </c>
      <c r="F43" s="2">
        <f t="shared" si="4"/>
        <v>0</v>
      </c>
      <c r="G43" s="2">
        <f t="shared" si="5"/>
        <v>57</v>
      </c>
      <c r="H43" s="2">
        <f t="shared" si="6"/>
        <v>0</v>
      </c>
      <c r="I43" s="2">
        <f t="shared" si="7"/>
        <v>3249</v>
      </c>
    </row>
    <row r="44">
      <c r="A44" s="2">
        <v>43</v>
      </c>
      <c r="B44" s="2" t="s">
        <v>10</v>
      </c>
      <c r="C44" s="2">
        <v>90</v>
      </c>
      <c r="D44" s="2">
        <v>9.8000000000000007</v>
      </c>
      <c r="E44" s="2">
        <v>3</v>
      </c>
      <c r="F44" s="2">
        <f t="shared" si="4"/>
        <v>0</v>
      </c>
      <c r="G44" s="2">
        <f t="shared" si="5"/>
        <v>90</v>
      </c>
      <c r="H44" s="2">
        <f t="shared" si="6"/>
        <v>0</v>
      </c>
      <c r="I44" s="2">
        <f t="shared" si="7"/>
        <v>8100</v>
      </c>
    </row>
    <row r="45">
      <c r="A45" s="2">
        <v>44</v>
      </c>
      <c r="B45" s="2" t="s">
        <v>10</v>
      </c>
      <c r="C45" s="2">
        <v>63</v>
      </c>
      <c r="D45" s="2">
        <v>2.6000000000000001</v>
      </c>
      <c r="E45" s="2">
        <v>2</v>
      </c>
      <c r="F45" s="2">
        <f t="shared" si="4"/>
        <v>0</v>
      </c>
      <c r="G45" s="2">
        <f t="shared" si="5"/>
        <v>63</v>
      </c>
      <c r="H45" s="2">
        <f t="shared" si="6"/>
        <v>0</v>
      </c>
      <c r="I45" s="2">
        <f t="shared" si="7"/>
        <v>3969</v>
      </c>
    </row>
    <row r="46">
      <c r="A46" s="2">
        <v>45</v>
      </c>
      <c r="B46" s="2" t="s">
        <v>10</v>
      </c>
      <c r="C46" s="2">
        <v>88</v>
      </c>
      <c r="D46" s="2">
        <v>8.6999999999999993</v>
      </c>
      <c r="E46" s="2">
        <v>0</v>
      </c>
      <c r="F46" s="2">
        <f t="shared" si="4"/>
        <v>0</v>
      </c>
      <c r="G46" s="2">
        <f t="shared" si="5"/>
        <v>88</v>
      </c>
      <c r="H46" s="2">
        <f t="shared" si="6"/>
        <v>0</v>
      </c>
      <c r="I46" s="2">
        <f t="shared" si="7"/>
        <v>7744</v>
      </c>
    </row>
    <row r="47">
      <c r="A47" s="2">
        <v>46</v>
      </c>
      <c r="B47" s="2" t="s">
        <v>10</v>
      </c>
      <c r="C47" s="2">
        <v>72</v>
      </c>
      <c r="D47" s="2">
        <v>6.4000000000000004</v>
      </c>
      <c r="E47" s="2">
        <v>5</v>
      </c>
      <c r="F47" s="2">
        <f t="shared" si="4"/>
        <v>0</v>
      </c>
      <c r="G47" s="2">
        <f t="shared" si="5"/>
        <v>72</v>
      </c>
      <c r="H47" s="2">
        <f t="shared" si="6"/>
        <v>0</v>
      </c>
      <c r="I47" s="2">
        <f t="shared" si="7"/>
        <v>5184</v>
      </c>
    </row>
    <row r="48">
      <c r="A48" s="2">
        <v>47</v>
      </c>
      <c r="B48" s="2" t="s">
        <v>10</v>
      </c>
      <c r="C48" s="2">
        <v>50</v>
      </c>
      <c r="D48" s="2">
        <v>5.2999999999999998</v>
      </c>
      <c r="E48" s="2">
        <v>2</v>
      </c>
      <c r="F48" s="2">
        <f t="shared" si="4"/>
        <v>0</v>
      </c>
      <c r="G48" s="2">
        <f t="shared" si="5"/>
        <v>50</v>
      </c>
      <c r="H48" s="2">
        <f t="shared" si="6"/>
        <v>0</v>
      </c>
      <c r="I48" s="2">
        <f t="shared" si="7"/>
        <v>2500</v>
      </c>
    </row>
    <row r="49">
      <c r="A49" s="2">
        <v>48</v>
      </c>
      <c r="B49" s="2" t="s">
        <v>10</v>
      </c>
      <c r="C49" s="2">
        <v>90</v>
      </c>
      <c r="D49" s="2">
        <v>5.5999999999999996</v>
      </c>
      <c r="E49" s="2">
        <v>2</v>
      </c>
      <c r="F49" s="2">
        <f t="shared" si="4"/>
        <v>0</v>
      </c>
      <c r="G49" s="2">
        <f t="shared" si="5"/>
        <v>90</v>
      </c>
      <c r="H49" s="2">
        <f t="shared" si="6"/>
        <v>0</v>
      </c>
      <c r="I49" s="2">
        <f t="shared" si="7"/>
        <v>8100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topLeftCell="A15" zoomScale="100" workbookViewId="0">
      <selection activeCell="A1" activeCellId="0" sqref="A1"/>
    </sheetView>
  </sheetViews>
  <sheetFormatPr defaultRowHeight="14.25"/>
  <cols>
    <col customWidth="1" min="1" max="1" width="18"/>
    <col customWidth="1" min="2" max="8" width="14"/>
  </cols>
  <sheetData>
    <row r="1" ht="24" customHeight="1">
      <c r="A1" s="3" t="s">
        <v>11</v>
      </c>
    </row>
    <row r="3">
      <c r="A3" s="4" t="s">
        <v>12</v>
      </c>
    </row>
    <row r="4">
      <c r="A4" s="4" t="s">
        <v>13</v>
      </c>
    </row>
    <row r="5">
      <c r="A5" s="4" t="s">
        <v>14</v>
      </c>
    </row>
    <row r="6">
      <c r="A6" s="4" t="s">
        <v>15</v>
      </c>
    </row>
    <row r="7">
      <c r="A7" s="5" t="s">
        <v>16</v>
      </c>
    </row>
    <row r="8">
      <c r="A8" s="5" t="s">
        <v>17</v>
      </c>
    </row>
    <row r="9">
      <c r="A9" s="5" t="s">
        <v>18</v>
      </c>
    </row>
    <row r="10">
      <c r="A10" s="4" t="s">
        <v>14</v>
      </c>
    </row>
    <row r="11">
      <c r="A11" s="5" t="s">
        <v>19</v>
      </c>
    </row>
    <row r="12">
      <c r="A12" s="4" t="s">
        <v>20</v>
      </c>
    </row>
    <row r="13">
      <c r="A13" s="5" t="s">
        <v>21</v>
      </c>
    </row>
    <row r="14">
      <c r="A14" s="4" t="s">
        <v>14</v>
      </c>
    </row>
    <row r="15">
      <c r="A15" s="4" t="s">
        <v>22</v>
      </c>
    </row>
    <row r="16">
      <c r="A16" s="4" t="s">
        <v>23</v>
      </c>
    </row>
    <row r="17">
      <c r="A17" s="4" t="s">
        <v>24</v>
      </c>
    </row>
    <row r="18">
      <c r="A18" s="4" t="s">
        <v>25</v>
      </c>
    </row>
    <row r="19">
      <c r="A19" s="4" t="s">
        <v>26</v>
      </c>
    </row>
    <row r="20">
      <c r="A20" s="4" t="s">
        <v>27</v>
      </c>
    </row>
    <row r="21">
      <c r="A21" s="4" t="s">
        <v>14</v>
      </c>
    </row>
    <row r="22">
      <c r="A22" s="4" t="s">
        <v>28</v>
      </c>
    </row>
    <row r="23">
      <c r="A23" s="5" t="s">
        <v>29</v>
      </c>
    </row>
    <row r="24">
      <c r="A24" s="5" t="s">
        <v>30</v>
      </c>
    </row>
  </sheetData>
  <mergeCells count="23">
    <mergeCell ref="A1:H1"/>
    <mergeCell ref="A3:H3"/>
    <mergeCell ref="A4:H4"/>
    <mergeCell ref="A5:H5"/>
    <mergeCell ref="A6:H6"/>
    <mergeCell ref="A7:H7"/>
    <mergeCell ref="A8:H8"/>
    <mergeCell ref="A9:H9"/>
    <mergeCell ref="A10:H10"/>
    <mergeCell ref="A11:H11"/>
    <mergeCell ref="A12:H12"/>
    <mergeCell ref="A13:H13"/>
    <mergeCell ref="A14:H14"/>
    <mergeCell ref="A15:H15"/>
    <mergeCell ref="A16:H16"/>
    <mergeCell ref="A17:H17"/>
    <mergeCell ref="A18:H18"/>
    <mergeCell ref="A19:H19"/>
    <mergeCell ref="A20:H20"/>
    <mergeCell ref="A21:H21"/>
    <mergeCell ref="A22:H22"/>
    <mergeCell ref="A23:H23"/>
    <mergeCell ref="A24:H24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ONLYOFFICE/9.3.0.140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