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3deaebb9b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talom" sheetId="1" r:id="Rc81d6a2ec7bb42c9"/>
    <x:sheet xmlns:r="http://schemas.openxmlformats.org/officeDocument/2006/relationships" name="1_Adatok_Cukraszda" sheetId="2" r:id="Re24bce2665d0434c"/>
    <x:sheet xmlns:r="http://schemas.openxmlformats.org/officeDocument/2006/relationships" name="1_Feladat" sheetId="3" r:id="Rd13f92ba914d442e"/>
    <x:sheet xmlns:r="http://schemas.openxmlformats.org/officeDocument/2006/relationships" name="2_Adatok_Konyvtar" sheetId="4" r:id="R6f76bcbdbc214c60"/>
    <x:sheet xmlns:r="http://schemas.openxmlformats.org/officeDocument/2006/relationships" name="2_Feladat" sheetId="5" r:id="R48720315165f4fa1"/>
    <x:sheet xmlns:r="http://schemas.openxmlformats.org/officeDocument/2006/relationships" name="3_Adatok_Idojaras" sheetId="6" r:id="R35b262d2bf2a4a4b"/>
    <x:sheet xmlns:r="http://schemas.openxmlformats.org/officeDocument/2006/relationships" name="3_Feladat" sheetId="7" r:id="R2e4ea52f32ae4c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#,##0 &quot;Ft&quot;"/>
    <x:numFmt numFmtId="165" formatCode="0.0%"/>
    <x:numFmt numFmtId="166" formatCode="yyyy-mm-dd"/>
    <x:numFmt numFmtId="167" formatCode="0.0"/>
  </x:numFmts>
  <x:fonts count="6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sz val="11"/>
      <x:color rgb="00404040"/>
    </x:font>
    <x:font>
      <x:b/>
      <x:color rgb="001F4E79"/>
    </x:font>
    <x:font>
      <x:b/>
    </x:font>
    <x:font>
      <x:b/>
      <x:color rgb="00FFFFFF"/>
    </x:font>
  </x:fonts>
  <x:fills count="5">
    <x:fill>
      <x:patternFill patternType="none"/>
    </x:fill>
    <x:fill>
      <x:patternFill patternType="gray125"/>
    </x:fill>
    <x:fill>
      <x:patternFill patternType="solid">
        <x:fgColor rgb="00D9E1F2"/>
      </x:patternFill>
    </x:fill>
    <x:fill>
      <x:patternFill patternType="solid">
        <x:fgColor rgb="001F4E79"/>
      </x:patternFill>
    </x:fill>
    <x:fill>
      <x:patternFill patternType="solid">
        <x:fgColor rgb="00E2EFDA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Alignment="1">
      <x:alignment vertical="center"/>
    </x:xf>
    <x:xf numFmtId="0" fontId="2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5" fillId="3" borderId="1" xfId="0" applyAlignment="1">
      <x:alignment horizontal="center" vertical="center"/>
    </x:xf>
    <x:xf numFmtId="0" fontId="3" fillId="0" borderId="0" xfId="0"/>
    <x:xf numFmtId="0" fontId="0" fillId="0" borderId="1" xfId="0" applyAlignment="1">
      <x:alignment vertical="center"/>
    </x:xf>
    <x:xf numFmtId="3" fontId="0" fillId="0" borderId="1" xfId="0" applyAlignment="1">
      <x:alignment horizontal="right" vertical="center"/>
    </x:xf>
    <x:xf numFmtId="164" fontId="0" fillId="0" borderId="1" xfId="0" applyAlignment="1">
      <x:alignment horizontal="right" vertical="center"/>
    </x:xf>
    <x:xf numFmtId="0" fontId="4" fillId="0" borderId="0" xfId="0"/>
    <x:xf numFmtId="164" fontId="0" fillId="0" borderId="0" xfId="0" applyAlignment="1">
      <x:alignment horizontal="right" vertical="center"/>
    </x:xf>
    <x:xf numFmtId="0" fontId="4" fillId="2" borderId="1" xfId="0" applyAlignment="1">
      <x:alignment vertical="center"/>
    </x:xf>
    <x:xf numFmtId="3" fontId="4" fillId="2" borderId="1" xfId="0" applyAlignment="1">
      <x:alignment horizontal="right" vertical="center"/>
    </x:xf>
    <x:xf numFmtId="164" fontId="4" fillId="2" borderId="1" xfId="0" applyAlignment="1">
      <x:alignment vertical="center"/>
    </x:xf>
    <x:xf numFmtId="164" fontId="4" fillId="2" borderId="1" xfId="0" applyAlignment="1">
      <x:alignment horizontal="right" vertical="center"/>
    </x:xf>
    <x:xf numFmtId="0" fontId="4" fillId="4" borderId="1" xfId="0" applyAlignment="1">
      <x:alignment vertical="center"/>
    </x:xf>
    <x:xf numFmtId="165" fontId="4" fillId="4" borderId="1" xfId="0" applyAlignment="1">
      <x:alignment horizontal="right" vertical="center"/>
    </x:xf>
    <x:xf numFmtId="9" fontId="4" fillId="4" borderId="1" xfId="0" applyAlignment="1">
      <x:alignment horizontal="right" vertical="center"/>
    </x:xf>
    <x:xf numFmtId="166" fontId="0" fillId="0" borderId="1" xfId="0" applyAlignment="1">
      <x:alignment vertical="center"/>
    </x:xf>
    <x:xf numFmtId="167" fontId="0" fillId="0" borderId="1" xfId="0" applyAlignment="1">
      <x:alignment horizontal="right" vertical="center"/>
    </x:xf>
    <x:xf numFmtId="1" fontId="0" fillId="0" borderId="1" xfId="0" applyAlignment="1">
      <x:alignment horizontal="right" vertical="center"/>
    </x:xf>
    <x:xf numFmtId="0" fontId="0" fillId="0" borderId="1" xfId="0" applyAlignment="1">
      <x:alignment horizontal="right" vertical="center"/>
    </x:xf>
    <x:xf numFmtId="0" fontId="0" fillId="0" borderId="1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5d4d0289645e8" /><Relationship Type="http://schemas.openxmlformats.org/officeDocument/2006/relationships/theme" Target="/xl/theme/theme1.xml" Id="R0f96b9219a2c400a" /><Relationship Type="http://schemas.openxmlformats.org/officeDocument/2006/relationships/sharedStrings" Target="/xl/sharedStrings.xml" Id="R9b616db70ae44fdd" /><Relationship Type="http://schemas.openxmlformats.org/officeDocument/2006/relationships/worksheet" Target="/xl/worksheets/sheet1.xml" Id="Rc81d6a2ec7bb42c9" /><Relationship Type="http://schemas.openxmlformats.org/officeDocument/2006/relationships/worksheet" Target="/xl/worksheets/sheet2.xml" Id="Re24bce2665d0434c" /><Relationship Type="http://schemas.openxmlformats.org/officeDocument/2006/relationships/worksheet" Target="/xl/worksheets/sheet3.xml" Id="Rd13f92ba914d442e" /><Relationship Type="http://schemas.openxmlformats.org/officeDocument/2006/relationships/worksheet" Target="/xl/worksheets/sheet4.xml" Id="R6f76bcbdbc214c60" /><Relationship Type="http://schemas.openxmlformats.org/officeDocument/2006/relationships/worksheet" Target="/xl/worksheets/sheet5.xml" Id="R48720315165f4fa1" /><Relationship Type="http://schemas.openxmlformats.org/officeDocument/2006/relationships/worksheet" Target="/xl/worksheets/sheet6.xml" Id="R35b262d2bf2a4a4b" /><Relationship Type="http://schemas.openxmlformats.org/officeDocument/2006/relationships/worksheet" Target="/xl/worksheets/sheet7.xml" Id="R2e4ea52f32ae4c21" /></Relationships>
</file>

<file path=xl/tables/table1.xml><?xml version="1.0" encoding="utf-8"?>
<x:table xmlns:x="http://schemas.openxmlformats.org/spreadsheetml/2006/main" id="1" name="T1_Cukraszda" displayName="T1_Cukraszda" ref="A3:H16" headerRowCount="1">
  <x:autoFilter ref="A3:H16"/>
  <x:tableColumns count="8">
    <x:tableColumn id="1" name="Hónap"/>
    <x:tableColumn id="2" name="Torta (db)"/>
    <x:tableColumn id="3" name="Süti (db)"/>
    <x:tableColumn id="4" name="Fagyi (adag)"/>
    <x:tableColumn id="5" name="Átlagár (Ft)"/>
    <x:tableColumn id="6" name="Marketing (Ft)"/>
    <x:tableColumn id="7" name="Összes árbevétel (Ft)"/>
    <x:tableColumn id="8" name="Nettó eredmény (Ft)"/>
  </x:tableColumns>
  <x:tableStyleInfo name="TableStyleMedium9" showRowStripes="1"/>
</x:table>
</file>

<file path=xl/tables/table2.xml><?xml version="1.0" encoding="utf-8"?>
<x:table xmlns:x="http://schemas.openxmlformats.org/spreadsheetml/2006/main" id="2" name="T2_Konyvtar" displayName="T2_Konyvtar" ref="A3:F17" headerRowCount="1">
  <x:autoFilter ref="A3:F17"/>
  <x:tableColumns count="6">
    <x:tableColumn id="1" name="Hónap"/>
    <x:tableColumn id="2" name="Szépirodalom"/>
    <x:tableColumn id="3" name="Ismeretterjesztő"/>
    <x:tableColumn id="4" name="Gyerek"/>
    <x:tableColumn id="5" name="Képregény"/>
    <x:tableColumn id="6" name="Összesen"/>
  </x:tableColumns>
  <x:tableStyleInfo name="TableStyleMedium9" showRowStripes="1"/>
</x:table>
</file>

<file path=xl/tables/table3.xml><?xml version="1.0" encoding="utf-8"?>
<x:table xmlns:x="http://schemas.openxmlformats.org/spreadsheetml/2006/main" id="3" name="T3_Idojaras" displayName="T3_Idojaras" ref="A3:F31" headerRowCount="1">
  <x:autoFilter ref="A3:F31"/>
  <x:tableColumns count="6">
    <x:tableColumn id="1" name="Dátum"/>
    <x:tableColumn id="2" name="Nap"/>
    <x:tableColumn id="3" name="Átlaghőmérséklet (°C)"/>
    <x:tableColumn id="4" name="Villamos energia (kWh)"/>
    <x:tableColumn id="5" name="Hét"/>
    <x:tableColumn id="6" name="Hétvége?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30df1149c64d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a1e495bb1d4f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f16a511f64f4f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24" customHeight="1">
      <x:c r="A1" s="1" t="inlineStr">
        <x:is>
          <x:t xml:space="preserve">Excel – 3 diagramkészítési feladat</x:t>
        </x:is>
      </x:c>
    </x:row>
    <x:row r="2" ht="18" customHeight="1">
      <x:c r="A2" s="2" t="inlineStr">
        <x:is>
          <x:t xml:space="preserve">Mindhárom feladatban legalább 3 különböző diagramtípust kell készíteni és formázni.</x:t>
        </x:is>
      </x:c>
    </x:row>
    <x:row r="4">
      <x:c r="A4" s="3" t="inlineStr">
        <x:is>
          <x:t xml:space="preserve">Feladatok:</x:t>
        </x:is>
      </x:c>
    </x:row>
    <x:row r="5">
      <x:c r="A5" s="3" t="inlineStr">
        <x:is>
          <x:t xml:space="preserve">• 1. Cukrászda havi értékesítés – oszlop + vonal + kördiagram</x:t>
        </x:is>
      </x:c>
    </x:row>
    <x:row r="6">
      <x:c r="A6" s="3" t="inlineStr">
        <x:is>
          <x:t xml:space="preserve">• 2. Könyvtári kölcsönzések – halmozott oszlop + terület + fánkdiagram</x:t>
        </x:is>
      </x:c>
    </x:row>
    <x:row r="7">
      <x:c r="A7" s="3" t="inlineStr">
        <x:is>
          <x:t xml:space="preserve">• 3. Időjárás és energiafogyasztás – kombinált + szórás + oszlopdiagram</x:t>
        </x:is>
      </x:c>
    </x:row>
    <x:row r="8">
      <x:c r="A8" s="3" t="inlineStr">
        <x:is>
          <x:t xml:space="preserve"/>
        </x:is>
      </x:c>
    </x:row>
    <x:row r="9">
      <x:c r="A9" s="3" t="inlineStr">
        <x:is>
          <x:t xml:space="preserve">Általános elvárások (mindegyik feladatnál):</x:t>
        </x:is>
      </x:c>
    </x:row>
    <x:row r="10">
      <x:c r="A10" s="3" t="inlineStr">
        <x:is>
          <x:t xml:space="preserve">1) Legyen diagramcím és (ahol értelmezhető) tengelycím.</x:t>
        </x:is>
      </x:c>
    </x:row>
    <x:row r="11">
      <x:c r="A11" s="3" t="inlineStr">
        <x:is>
          <x:t xml:space="preserve">2) A jelmagyarázat legyen rendezett (alul / jobbra / felül, ahogy a feladat kéri).</x:t>
        </x:is>
      </x:c>
    </x:row>
    <x:row r="12">
      <x:c r="A12" s="3" t="inlineStr">
        <x:is>
          <x:t xml:space="preserve">3) Legalább egy diagramon használj adatfeliratokat (érték vagy %).</x:t>
        </x:is>
      </x:c>
    </x:row>
    <x:row r="13">
      <x:c r="A13" s="3" t="inlineStr">
        <x:is>
          <x:t xml:space="preserve">4) A diagramok legyenek áttekinthetők: ne lógjon le a felirat, és a tengelyek 0-tól induljanak, ha indokolt.</x:t>
        </x:is>
      </x:c>
    </x:row>
    <x:row r="14">
      <x:c r="A14" s="3" t="inlineStr">
        <x:is>
          <x:t xml:space="preserve"/>
        </x:is>
      </x:c>
    </x:row>
    <x:row r="15">
      <x:c r="A15" s="3" t="inlineStr">
        <x:is>
          <x:t xml:space="preserve">Tipp: a diagramokat készítheted az adatok mellé ugyanarra a lapra, vagy külön „Diagramok” lapra (ha a tanárod ezt kéri).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customWidth="1"/>
    <x:col min="2" max="2" width="14" customWidth="1"/>
    <x:col min="3" max="3" width="14" customWidth="1"/>
    <x:col min="4" max="4" width="14" customWidth="1"/>
    <x:col min="5" max="5" width="14" customWidth="1"/>
    <x:col min="6" max="6" width="16" customWidth="1"/>
    <x:col min="7" max="7" width="33" customWidth="1"/>
    <x:col min="8" max="8" width="21" customWidth="1"/>
    <x:col min="9" max="9" width="17" customWidth="1"/>
    <x:col min="10" max="10" width="10" customWidth="1"/>
  </x:cols>
  <x:sheetData>
    <x:row r="1" ht="24" customHeight="1">
      <x:c r="A1" s="1" t="inlineStr">
        <x:is>
          <x:t xml:space="preserve">1. feladat – Cukrászda havi értékesítés</x:t>
        </x:is>
      </x:c>
    </x:row>
    <x:row r="2" ht="18" customHeight="1">
      <x:c r="A2" s="2" t="inlineStr">
        <x:is>
          <x:t xml:space="preserve">A táblázat alapján készíts legalább 3 különböző típusú diagramot.</x:t>
        </x:is>
      </x:c>
    </x:row>
    <x:row r="3">
      <x:c r="A3" s="4" t="inlineStr">
        <x:is>
          <x:t xml:space="preserve">Hónap</x:t>
        </x:is>
      </x:c>
      <x:c r="B3" s="4" t="inlineStr">
        <x:is>
          <x:t xml:space="preserve">Torta (db)</x:t>
        </x:is>
      </x:c>
      <x:c r="C3" s="4" t="inlineStr">
        <x:is>
          <x:t xml:space="preserve">Süti (db)</x:t>
        </x:is>
      </x:c>
      <x:c r="D3" s="4" t="inlineStr">
        <x:is>
          <x:t xml:space="preserve">Fagyi (adag)</x:t>
        </x:is>
      </x:c>
      <x:c r="E3" s="4" t="inlineStr">
        <x:is>
          <x:t xml:space="preserve">Átlagár (Ft)</x:t>
        </x:is>
      </x:c>
      <x:c r="F3" s="4" t="inlineStr">
        <x:is>
          <x:t xml:space="preserve">Marketing (Ft)</x:t>
        </x:is>
      </x:c>
      <x:c r="G3" s="4" t="inlineStr">
        <x:is>
          <x:t xml:space="preserve">Összes árbevétel (Ft)</x:t>
        </x:is>
      </x:c>
      <x:c r="H3" s="4" t="inlineStr">
        <x:is>
          <x:t xml:space="preserve">Nettó eredmény (Ft)</x:t>
        </x:is>
      </x:c>
      <x:c r="I3" s="5" t="inlineStr">
        <x:is>
          <x:t xml:space="preserve">Egységárak (Ft)</x:t>
        </x:is>
      </x:c>
    </x:row>
    <x:row r="4">
      <x:c r="A4" s="6" t="inlineStr">
        <x:is>
          <x:t xml:space="preserve">Jan</x:t>
        </x:is>
      </x:c>
      <x:c r="B4" s="7" t="n">
        <x:v>215</x:v>
      </x:c>
      <x:c r="C4" s="7" t="n">
        <x:v>777</x:v>
      </x:c>
      <x:c r="D4" s="7" t="n">
        <x:v>325</x:v>
      </x:c>
      <x:c r="E4" s="8" t="n">
        <x:v>850</x:v>
      </x:c>
      <x:c r="F4" s="8" t="n">
        <x:v>92098</x:v>
      </x:c>
      <x:c r="G4" s="8">
        <x:f>B4*$J$4 + C4*$J$5 + D4*$J$6</x:f>
        <x:v>1017650</x:v>
      </x:c>
      <x:c r="H4" s="8">
        <x:f>G4-F4</x:f>
        <x:v>925552</x:v>
      </x:c>
      <x:c r="I4" s="9" t="inlineStr">
        <x:is>
          <x:t xml:space="preserve">Torta</x:t>
        </x:is>
      </x:c>
      <x:c r="J4" s="10" t="n">
        <x:v>2200</x:v>
      </x:c>
    </x:row>
    <x:row r="5">
      <x:c r="A5" s="6" t="inlineStr">
        <x:is>
          <x:t xml:space="preserve">Feb</x:t>
        </x:is>
      </x:c>
      <x:c r="B5" s="7" t="n">
        <x:v>173</x:v>
      </x:c>
      <x:c r="C5" s="7" t="n">
        <x:v>774</x:v>
      </x:c>
      <x:c r="D5" s="7" t="n">
        <x:v>279</x:v>
      </x:c>
      <x:c r="E5" s="8" t="n">
        <x:v>920</x:v>
      </x:c>
      <x:c r="F5" s="8" t="n">
        <x:v>71395</x:v>
      </x:c>
      <x:c r="G5" s="8">
        <x:f>B5*$J$4 + C5*$J$5 + D5*$J$6</x:f>
        <x:v>896300</x:v>
      </x:c>
      <x:c r="H5" s="8">
        <x:f>G5-F5</x:f>
        <x:v>824905</x:v>
      </x:c>
      <x:c r="I5" s="9" t="inlineStr">
        <x:is>
          <x:t xml:space="preserve">Süti</x:t>
        </x:is>
      </x:c>
      <x:c r="J5" s="10" t="n">
        <x:v>450</x:v>
      </x:c>
    </x:row>
    <x:row r="6">
      <x:c r="A6" s="6" t="inlineStr">
        <x:is>
          <x:t xml:space="preserve">Már</x:t>
        </x:is>
      </x:c>
      <x:c r="B6" s="7" t="n">
        <x:v>225</x:v>
      </x:c>
      <x:c r="C6" s="7" t="n">
        <x:v>875</x:v>
      </x:c>
      <x:c r="D6" s="7" t="n">
        <x:v>116</x:v>
      </x:c>
      <x:c r="E6" s="8" t="n">
        <x:v>780</x:v>
      </x:c>
      <x:c r="F6" s="8" t="n">
        <x:v>72280</x:v>
      </x:c>
      <x:c r="G6" s="8">
        <x:f>B6*$J$4 + C6*$J$5 + D6*$J$6</x:f>
        <x:v>958350</x:v>
      </x:c>
      <x:c r="H6" s="8">
        <x:f>G6-F6</x:f>
        <x:v>886070</x:v>
      </x:c>
      <x:c r="I6" s="9" t="inlineStr">
        <x:is>
          <x:t xml:space="preserve">Fagyi</x:t>
        </x:is>
      </x:c>
      <x:c r="J6" s="10" t="n">
        <x:v>600</x:v>
      </x:c>
    </x:row>
    <x:row r="7">
      <x:c r="A7" s="6" t="inlineStr">
        <x:is>
          <x:t xml:space="preserve">Ápr</x:t>
        </x:is>
      </x:c>
      <x:c r="B7" s="7" t="n">
        <x:v>172</x:v>
      </x:c>
      <x:c r="C7" s="7" t="n">
        <x:v>719</x:v>
      </x:c>
      <x:c r="D7" s="7" t="n">
        <x:v>567</x:v>
      </x:c>
      <x:c r="E7" s="8" t="n">
        <x:v>920</x:v>
      </x:c>
      <x:c r="F7" s="8" t="n">
        <x:v>63478</x:v>
      </x:c>
      <x:c r="G7" s="8">
        <x:f>B7*$J$4 + C7*$J$5 + D7*$J$6</x:f>
        <x:v>1042150</x:v>
      </x:c>
      <x:c r="H7" s="8">
        <x:f>G7-F7</x:f>
        <x:v>978672</x:v>
      </x:c>
    </x:row>
    <x:row r="8">
      <x:c r="A8" s="6" t="inlineStr">
        <x:is>
          <x:t xml:space="preserve">Máj</x:t>
        </x:is>
      </x:c>
      <x:c r="B8" s="7" t="n">
        <x:v>205</x:v>
      </x:c>
      <x:c r="C8" s="7" t="n">
        <x:v>641</x:v>
      </x:c>
      <x:c r="D8" s="7" t="n">
        <x:v>642</x:v>
      </x:c>
      <x:c r="E8" s="8" t="n">
        <x:v>890</x:v>
      </x:c>
      <x:c r="F8" s="8" t="n">
        <x:v>88893</x:v>
      </x:c>
      <x:c r="G8" s="8">
        <x:f>B8*$J$4 + C8*$J$5 + D8*$J$6</x:f>
        <x:v>1124650</x:v>
      </x:c>
      <x:c r="H8" s="8">
        <x:f>G8-F8</x:f>
        <x:v>1035757</x:v>
      </x:c>
    </x:row>
    <x:row r="9">
      <x:c r="A9" s="6" t="inlineStr">
        <x:is>
          <x:t xml:space="preserve">Jún</x:t>
        </x:is>
      </x:c>
      <x:c r="B9" s="7" t="n">
        <x:v>177</x:v>
      </x:c>
      <x:c r="C9" s="7" t="n">
        <x:v>798</x:v>
      </x:c>
      <x:c r="D9" s="7" t="n">
        <x:v>459</x:v>
      </x:c>
      <x:c r="E9" s="8" t="n">
        <x:v>780</x:v>
      </x:c>
      <x:c r="F9" s="8" t="n">
        <x:v>159458</x:v>
      </x:c>
      <x:c r="G9" s="8">
        <x:f>B9*$J$4 + C9*$J$5 + D9*$J$6</x:f>
        <x:v>1023900</x:v>
      </x:c>
      <x:c r="H9" s="8">
        <x:f>G9-F9</x:f>
        <x:v>864442</x:v>
      </x:c>
    </x:row>
    <x:row r="10">
      <x:c r="A10" s="6" t="inlineStr">
        <x:is>
          <x:t xml:space="preserve">Júl</x:t>
        </x:is>
      </x:c>
      <x:c r="B10" s="7" t="n">
        <x:v>125</x:v>
      </x:c>
      <x:c r="C10" s="7" t="n">
        <x:v>837</x:v>
      </x:c>
      <x:c r="D10" s="7" t="n">
        <x:v>732</x:v>
      </x:c>
      <x:c r="E10" s="8" t="n">
        <x:v>850</x:v>
      </x:c>
      <x:c r="F10" s="8" t="n">
        <x:v>96421</x:v>
      </x:c>
      <x:c r="G10" s="8">
        <x:f>B10*$J$4 + C10*$J$5 + D10*$J$6</x:f>
        <x:v>1090850</x:v>
      </x:c>
      <x:c r="H10" s="8">
        <x:f>G10-F10</x:f>
        <x:v>994429</x:v>
      </x:c>
    </x:row>
    <x:row r="11">
      <x:c r="A11" s="6" t="inlineStr">
        <x:is>
          <x:t xml:space="preserve">Aug</x:t>
        </x:is>
      </x:c>
      <x:c r="B11" s="7" t="n">
        <x:v>114</x:v>
      </x:c>
      <x:c r="C11" s="7" t="n">
        <x:v>607</x:v>
      </x:c>
      <x:c r="D11" s="7" t="n">
        <x:v>768</x:v>
      </x:c>
      <x:c r="E11" s="8" t="n">
        <x:v>780</x:v>
      </x:c>
      <x:c r="F11" s="8" t="n">
        <x:v>72156</x:v>
      </x:c>
      <x:c r="G11" s="8">
        <x:f>B11*$J$4 + C11*$J$5 + D11*$J$6</x:f>
        <x:v>984750</x:v>
      </x:c>
      <x:c r="H11" s="8">
        <x:f>G11-F11</x:f>
        <x:v>912594</x:v>
      </x:c>
    </x:row>
    <x:row r="12">
      <x:c r="A12" s="6" t="inlineStr">
        <x:is>
          <x:t xml:space="preserve">Sze</x:t>
        </x:is>
      </x:c>
      <x:c r="B12" s="7" t="n">
        <x:v>138</x:v>
      </x:c>
      <x:c r="C12" s="7" t="n">
        <x:v>589</x:v>
      </x:c>
      <x:c r="D12" s="7" t="n">
        <x:v>883</x:v>
      </x:c>
      <x:c r="E12" s="8" t="n">
        <x:v>850</x:v>
      </x:c>
      <x:c r="F12" s="8" t="n">
        <x:v>139131</x:v>
      </x:c>
      <x:c r="G12" s="8">
        <x:f>B12*$J$4 + C12*$J$5 + D12*$J$6</x:f>
        <x:v>1098450</x:v>
      </x:c>
      <x:c r="H12" s="8">
        <x:f>G12-F12</x:f>
        <x:v>959319</x:v>
      </x:c>
    </x:row>
    <x:row r="13">
      <x:c r="A13" s="6" t="inlineStr">
        <x:is>
          <x:t xml:space="preserve">Okt</x:t>
        </x:is>
      </x:c>
      <x:c r="B13" s="7" t="n">
        <x:v>128</x:v>
      </x:c>
      <x:c r="C13" s="7" t="n">
        <x:v>1013</x:v>
      </x:c>
      <x:c r="D13" s="7" t="n">
        <x:v>594</x:v>
      </x:c>
      <x:c r="E13" s="8" t="n">
        <x:v>890</x:v>
      </x:c>
      <x:c r="F13" s="8" t="n">
        <x:v>130284</x:v>
      </x:c>
      <x:c r="G13" s="8">
        <x:f>B13*$J$4 + C13*$J$5 + D13*$J$6</x:f>
        <x:v>1093850</x:v>
      </x:c>
      <x:c r="H13" s="8">
        <x:f>G13-F13</x:f>
        <x:v>963566</x:v>
      </x:c>
    </x:row>
    <x:row r="14">
      <x:c r="A14" s="6" t="inlineStr">
        <x:is>
          <x:t xml:space="preserve">Nov</x:t>
        </x:is>
      </x:c>
      <x:c r="B14" s="7" t="n">
        <x:v>120</x:v>
      </x:c>
      <x:c r="C14" s="7" t="n">
        <x:v>1157</x:v>
      </x:c>
      <x:c r="D14" s="7" t="n">
        <x:v>903</x:v>
      </x:c>
      <x:c r="E14" s="8" t="n">
        <x:v>780</x:v>
      </x:c>
      <x:c r="F14" s="8" t="n">
        <x:v>132357</x:v>
      </x:c>
      <x:c r="G14" s="8">
        <x:f>B14*$J$4 + C14*$J$5 + D14*$J$6</x:f>
        <x:v>1326450</x:v>
      </x:c>
      <x:c r="H14" s="8">
        <x:f>G14-F14</x:f>
        <x:v>1194093</x:v>
      </x:c>
    </x:row>
    <x:row r="15">
      <x:c r="A15" s="6" t="inlineStr">
        <x:is>
          <x:t xml:space="preserve">Dec</x:t>
        </x:is>
      </x:c>
      <x:c r="B15" s="7" t="n">
        <x:v>157</x:v>
      </x:c>
      <x:c r="C15" s="7" t="n">
        <x:v>1127</x:v>
      </x:c>
      <x:c r="D15" s="7" t="n">
        <x:v>794</x:v>
      </x:c>
      <x:c r="E15" s="8" t="n">
        <x:v>920</x:v>
      </x:c>
      <x:c r="F15" s="8" t="n">
        <x:v>85203</x:v>
      </x:c>
      <x:c r="G15" s="8">
        <x:f>B15*$J$4 + C15*$J$5 + D15*$J$6</x:f>
        <x:v>1328950</x:v>
      </x:c>
      <x:c r="H15" s="8">
        <x:f>G15-F15</x:f>
        <x:v>1243747</x:v>
      </x:c>
    </x:row>
    <x:row r="16">
      <x:c r="A16" s="11" t="inlineStr">
        <x:is>
          <x:t xml:space="preserve">Éves összesen</x:t>
        </x:is>
      </x:c>
      <x:c r="B16" s="12">
        <x:f>SUM(B4:B15)</x:f>
        <x:v>1949</x:v>
      </x:c>
      <x:c r="C16" s="12">
        <x:f>SUM(C4:C15)</x:f>
        <x:v>9914</x:v>
      </x:c>
      <x:c r="D16" s="12">
        <x:f>SUM(D4:D15)</x:f>
        <x:v>7062</x:v>
      </x:c>
      <x:c r="E16" s="13" t="n"/>
      <x:c r="F16" s="14">
        <x:f>SUM(F4:F15)</x:f>
        <x:v>1203154</x:v>
      </x:c>
      <x:c r="G16" s="14">
        <x:f>SUM(G4:G15)</x:f>
        <x:v>12986300</x:v>
      </x:c>
      <x:c r="H16" s="14">
        <x:f>SUM(H4:H15)</x:f>
        <x:v>11783146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4130df1149c64d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24" customHeight="1">
      <x:c r="A1" s="1" t="inlineStr">
        <x:is>
          <x:t xml:space="preserve">1. feladat – Diagramok (Cukrászda)</x:t>
        </x:is>
      </x:c>
    </x:row>
    <x:row r="2" ht="18" customHeight="1">
      <x:c r="A2" s="2" t="inlineStr">
        <x:is>
          <x:t xml:space="preserve">A diagramokat a „1_Adatok_Cukraszda” lapon lévő táblázatból készítsd.</x:t>
        </x:is>
      </x:c>
    </x:row>
    <x:row r="4">
      <x:c r="A4" s="3" t="inlineStr">
        <x:is>
          <x:t xml:space="preserve">1) Készíts egy Csoportosított oszlopdiagramot a havi termékértékesítésről!</x:t>
        </x:is>
      </x:c>
    </x:row>
    <x:row r="5">
      <x:c r="A5" s="3" t="inlineStr">
        <x:is>
          <x:t xml:space="preserve">   • Adattartomány: B3:D15 (Torta, Süti, Fagyi) és a hónapok az A oszlopból.</x:t>
        </x:is>
      </x:c>
    </x:row>
    <x:row r="6">
      <x:c r="A6" s="3" t="inlineStr">
        <x:is>
          <x:t xml:space="preserve">   • Formázás: diagramcím: „Havi eladások termékenként”; jelmagyarázat alul; adatfeliratok BE az oszlopokra.</x:t>
        </x:is>
      </x:c>
    </x:row>
    <x:row r="7">
      <x:c r="A7" s="3" t="inlineStr">
        <x:is>
          <x:t xml:space="preserve"/>
        </x:is>
      </x:c>
    </x:row>
    <x:row r="8">
      <x:c r="A8" s="3" t="inlineStr">
        <x:is>
          <x:t xml:space="preserve">2) Készíts egy Vonaldiagramot (jelölőkkel) az összes árbevételről!</x:t>
        </x:is>
      </x:c>
    </x:row>
    <x:row r="9">
      <x:c r="A9" s="3" t="inlineStr">
        <x:is>
          <x:t xml:space="preserve">   • Adattartomány: A3:A15 és G3:G15.</x:t>
        </x:is>
      </x:c>
    </x:row>
    <x:row r="10">
      <x:c r="A10" s="3" t="inlineStr">
        <x:is>
          <x:t xml:space="preserve">   • Formázás: tengelycímek (X: Hónap, Y: Árbevétel (Ft)); adatfelirat csak a legmagasabb értékre; rácsvonalak halványítva.</x:t>
        </x:is>
      </x:c>
    </x:row>
    <x:row r="11">
      <x:c r="A11" s="3" t="inlineStr">
        <x:is>
          <x:t xml:space="preserve"/>
        </x:is>
      </x:c>
    </x:row>
    <x:row r="12">
      <x:c r="A12" s="3" t="inlineStr">
        <x:is>
          <x:t xml:space="preserve">3) Készíts egy Kördiagramot az éves termékmegoszlásról!</x:t>
        </x:is>
      </x:c>
    </x:row>
    <x:row r="13">
      <x:c r="A13" s="3" t="inlineStr">
        <x:is>
          <x:t xml:space="preserve">   • Használd az „Éves összesen” sort: B16:D16.</x:t>
        </x:is>
      </x:c>
    </x:row>
    <x:row r="14">
      <x:c r="A14" s="3" t="inlineStr">
        <x:is>
          <x:t xml:space="preserve">   • Formázás: százalékos adatfeliratok; jelmagyarázat jobb oldalt; a legnagyobb szelet enyhén „kiemelve” (explode).</x:t>
        </x:is>
      </x:c>
    </x:row>
    <x:row r="15">
      <x:c r="A15" s="3" t="inlineStr">
        <x:is>
          <x:t xml:space="preserve"/>
        </x:is>
      </x:c>
    </x:row>
    <x:row r="16">
      <x:c r="A16" s="3" t="inlineStr">
        <x:is>
          <x:t xml:space="preserve">Mentés: a fájlt a neveddel add le (pl. „Cukraszda_diagramok_KissAnna.xlsx”).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customWidth="1"/>
    <x:col min="2" max="2" width="14" customWidth="1"/>
    <x:col min="3" max="3" width="18" customWidth="1"/>
    <x:col min="4" max="4" width="14" customWidth="1"/>
    <x:col min="5" max="5" width="14" customWidth="1"/>
    <x:col min="6" max="6" width="15" customWidth="1"/>
    <x:col min="7" max="7" width="10" customWidth="1"/>
    <x:col min="8" max="8" width="10" customWidth="1"/>
  </x:cols>
  <x:sheetData>
    <x:row r="1" ht="24" customHeight="1">
      <x:c r="A1" s="1" t="inlineStr">
        <x:is>
          <x:t xml:space="preserve">2. feladat – Könyvtári kölcsönzések</x:t>
        </x:is>
      </x:c>
    </x:row>
    <x:row r="2" ht="18" customHeight="1">
      <x:c r="A2" s="2" t="inlineStr">
        <x:is>
          <x:t xml:space="preserve">A táblázat adatai fiktívek; a cél a diagramkészítés és formázás gyakorlása.</x:t>
        </x:is>
      </x:c>
    </x:row>
    <x:row r="3">
      <x:c r="A3" s="4" t="inlineStr">
        <x:is>
          <x:t xml:space="preserve">Hónap</x:t>
        </x:is>
      </x:c>
      <x:c r="B3" s="4" t="inlineStr">
        <x:is>
          <x:t xml:space="preserve">Szépirodalom</x:t>
        </x:is>
      </x:c>
      <x:c r="C3" s="4" t="inlineStr">
        <x:is>
          <x:t xml:space="preserve">Ismeretterjesztő</x:t>
        </x:is>
      </x:c>
      <x:c r="D3" s="4" t="inlineStr">
        <x:is>
          <x:t xml:space="preserve">Gyerek</x:t>
        </x:is>
      </x:c>
      <x:c r="E3" s="4" t="inlineStr">
        <x:is>
          <x:t xml:space="preserve">Képregény</x:t>
        </x:is>
      </x:c>
      <x:c r="F3" s="4" t="inlineStr">
        <x:is>
          <x:t xml:space="preserve">Összesen</x:t>
        </x:is>
      </x:c>
    </x:row>
    <x:row r="4">
      <x:c r="A4" s="6" t="inlineStr">
        <x:is>
          <x:t xml:space="preserve">Jan</x:t>
        </x:is>
      </x:c>
      <x:c r="B4" s="7" t="n">
        <x:v>276</x:v>
      </x:c>
      <x:c r="C4" s="7" t="n">
        <x:v>156</x:v>
      </x:c>
      <x:c r="D4" s="7" t="n">
        <x:v>325</x:v>
      </x:c>
      <x:c r="E4" s="7" t="n">
        <x:v>76</x:v>
      </x:c>
      <x:c r="F4" s="7">
        <x:f>SUM(B4:E4)</x:f>
        <x:v>833</x:v>
      </x:c>
    </x:row>
    <x:row r="5">
      <x:c r="A5" s="6" t="inlineStr">
        <x:is>
          <x:t xml:space="preserve">Feb</x:t>
        </x:is>
      </x:c>
      <x:c r="B5" s="7" t="n">
        <x:v>223</x:v>
      </x:c>
      <x:c r="C5" s="7" t="n">
        <x:v>245</x:v>
      </x:c>
      <x:c r="D5" s="7" t="n">
        <x:v>337</x:v>
      </x:c>
      <x:c r="E5" s="7" t="n">
        <x:v>80</x:v>
      </x:c>
      <x:c r="F5" s="7">
        <x:f>SUM(B5:E5)</x:f>
        <x:v>885</x:v>
      </x:c>
    </x:row>
    <x:row r="6">
      <x:c r="A6" s="6" t="inlineStr">
        <x:is>
          <x:t xml:space="preserve">Már</x:t>
        </x:is>
      </x:c>
      <x:c r="B6" s="7" t="n">
        <x:v>303</x:v>
      </x:c>
      <x:c r="C6" s="7" t="n">
        <x:v>211</x:v>
      </x:c>
      <x:c r="D6" s="7" t="n">
        <x:v>189</x:v>
      </x:c>
      <x:c r="E6" s="7" t="n">
        <x:v>128</x:v>
      </x:c>
      <x:c r="F6" s="7">
        <x:f>SUM(B6:E6)</x:f>
        <x:v>831</x:v>
      </x:c>
    </x:row>
    <x:row r="7">
      <x:c r="A7" s="6" t="inlineStr">
        <x:is>
          <x:t xml:space="preserve">Ápr</x:t>
        </x:is>
      </x:c>
      <x:c r="B7" s="7" t="n">
        <x:v>259</x:v>
      </x:c>
      <x:c r="C7" s="7" t="n">
        <x:v>133</x:v>
      </x:c>
      <x:c r="D7" s="7" t="n">
        <x:v>179</x:v>
      </x:c>
      <x:c r="E7" s="7" t="n">
        <x:v>115</x:v>
      </x:c>
      <x:c r="F7" s="7">
        <x:f>SUM(B7:E7)</x:f>
        <x:v>686</x:v>
      </x:c>
    </x:row>
    <x:row r="8">
      <x:c r="A8" s="6" t="inlineStr">
        <x:is>
          <x:t xml:space="preserve">Máj</x:t>
        </x:is>
      </x:c>
      <x:c r="B8" s="7" t="n">
        <x:v>301</x:v>
      </x:c>
      <x:c r="C8" s="7" t="n">
        <x:v>128</x:v>
      </x:c>
      <x:c r="D8" s="7" t="n">
        <x:v>211</x:v>
      </x:c>
      <x:c r="E8" s="7" t="n">
        <x:v>66</x:v>
      </x:c>
      <x:c r="F8" s="7">
        <x:f>SUM(B8:E8)</x:f>
        <x:v>706</x:v>
      </x:c>
    </x:row>
    <x:row r="9">
      <x:c r="A9" s="6" t="inlineStr">
        <x:is>
          <x:t xml:space="preserve">Jún</x:t>
        </x:is>
      </x:c>
      <x:c r="B9" s="7" t="n">
        <x:v>288</x:v>
      </x:c>
      <x:c r="C9" s="7" t="n">
        <x:v>117</x:v>
      </x:c>
      <x:c r="D9" s="7" t="n">
        <x:v>301</x:v>
      </x:c>
      <x:c r="E9" s="7" t="n">
        <x:v>67</x:v>
      </x:c>
      <x:c r="F9" s="7">
        <x:f>SUM(B9:E9)</x:f>
        <x:v>773</x:v>
      </x:c>
    </x:row>
    <x:row r="10">
      <x:c r="A10" s="6" t="inlineStr">
        <x:is>
          <x:t xml:space="preserve">Júl</x:t>
        </x:is>
      </x:c>
      <x:c r="B10" s="7" t="n">
        <x:v>222</x:v>
      </x:c>
      <x:c r="C10" s="7" t="n">
        <x:v>183</x:v>
      </x:c>
      <x:c r="D10" s="7" t="n">
        <x:v>335</x:v>
      </x:c>
      <x:c r="E10" s="7" t="n">
        <x:v>124</x:v>
      </x:c>
      <x:c r="F10" s="7">
        <x:f>SUM(B10:E10)</x:f>
        <x:v>864</x:v>
      </x:c>
    </x:row>
    <x:row r="11">
      <x:c r="A11" s="6" t="inlineStr">
        <x:is>
          <x:t xml:space="preserve">Aug</x:t>
        </x:is>
      </x:c>
      <x:c r="B11" s="7" t="n">
        <x:v>170</x:v>
      </x:c>
      <x:c r="C11" s="7" t="n">
        <x:v>173</x:v>
      </x:c>
      <x:c r="D11" s="7" t="n">
        <x:v>349</x:v>
      </x:c>
      <x:c r="E11" s="7" t="n">
        <x:v>102</x:v>
      </x:c>
      <x:c r="F11" s="7">
        <x:f>SUM(B11:E11)</x:f>
        <x:v>794</x:v>
      </x:c>
    </x:row>
    <x:row r="12">
      <x:c r="A12" s="6" t="inlineStr">
        <x:is>
          <x:t xml:space="preserve">Sze</x:t>
        </x:is>
      </x:c>
      <x:c r="B12" s="7" t="n">
        <x:v>162</x:v>
      </x:c>
      <x:c r="C12" s="7" t="n">
        <x:v>131</x:v>
      </x:c>
      <x:c r="D12" s="7" t="n">
        <x:v>235</x:v>
      </x:c>
      <x:c r="E12" s="7" t="n">
        <x:v>126</x:v>
      </x:c>
      <x:c r="F12" s="7">
        <x:f>SUM(B12:E12)</x:f>
        <x:v>654</x:v>
      </x:c>
    </x:row>
    <x:row r="13">
      <x:c r="A13" s="6" t="inlineStr">
        <x:is>
          <x:t xml:space="preserve">Okt</x:t>
        </x:is>
      </x:c>
      <x:c r="B13" s="7" t="n">
        <x:v>189</x:v>
      </x:c>
      <x:c r="C13" s="7" t="n">
        <x:v>147</x:v>
      </x:c>
      <x:c r="D13" s="7" t="n">
        <x:v>350</x:v>
      </x:c>
      <x:c r="E13" s="7" t="n">
        <x:v>78</x:v>
      </x:c>
      <x:c r="F13" s="7">
        <x:f>SUM(B13:E13)</x:f>
        <x:v>764</x:v>
      </x:c>
    </x:row>
    <x:row r="14">
      <x:c r="A14" s="6" t="inlineStr">
        <x:is>
          <x:t xml:space="preserve">Nov</x:t>
        </x:is>
      </x:c>
      <x:c r="B14" s="7" t="n">
        <x:v>303</x:v>
      </x:c>
      <x:c r="C14" s="7" t="n">
        <x:v>135</x:v>
      </x:c>
      <x:c r="D14" s="7" t="n">
        <x:v>396</x:v>
      </x:c>
      <x:c r="E14" s="7" t="n">
        <x:v>103</x:v>
      </x:c>
      <x:c r="F14" s="7">
        <x:f>SUM(B14:E14)</x:f>
        <x:v>937</x:v>
      </x:c>
    </x:row>
    <x:row r="15">
      <x:c r="A15" s="6" t="inlineStr">
        <x:is>
          <x:t xml:space="preserve">Dec</x:t>
        </x:is>
      </x:c>
      <x:c r="B15" s="7" t="n">
        <x:v>226</x:v>
      </x:c>
      <x:c r="C15" s="7" t="n">
        <x:v>142</x:v>
      </x:c>
      <x:c r="D15" s="7" t="n">
        <x:v>391</x:v>
      </x:c>
      <x:c r="E15" s="7" t="n">
        <x:v>141</x:v>
      </x:c>
      <x:c r="F15" s="7">
        <x:f>SUM(B15:E15)</x:f>
        <x:v>900</x:v>
      </x:c>
    </x:row>
    <x:row r="16">
      <x:c r="A16" s="11" t="inlineStr">
        <x:is>
          <x:t xml:space="preserve">Éves összesen</x:t>
        </x:is>
      </x:c>
      <x:c r="B16" s="12">
        <x:f>SUM(B4:B15)</x:f>
        <x:v>2922</x:v>
      </x:c>
      <x:c r="C16" s="12">
        <x:f>SUM(C4:C15)</x:f>
        <x:v>1901</x:v>
      </x:c>
      <x:c r="D16" s="12">
        <x:f>SUM(D4:D15)</x:f>
        <x:v>3598</x:v>
      </x:c>
      <x:c r="E16" s="12">
        <x:f>SUM(E4:E15)</x:f>
        <x:v>1206</x:v>
      </x:c>
      <x:c r="F16" s="12">
        <x:f>SUM(F4:F15)</x:f>
        <x:v>9627</x:v>
      </x:c>
    </x:row>
    <x:row r="17">
      <x:c r="A17" s="15" t="inlineStr">
        <x:is>
          <x:t xml:space="preserve">Éves arány</x:t>
        </x:is>
      </x:c>
      <x:c r="B17" s="16">
        <x:f>B16/$F$16</x:f>
        <x:v>0.30352134621377375</x:v>
      </x:c>
      <x:c r="C17" s="16">
        <x:f>C16/$F$16</x:f>
        <x:v>0.19746546172223953</x:v>
      </x:c>
      <x:c r="D17" s="16">
        <x:f>D16/$F$16</x:f>
        <x:v>0.3737405214500883</x:v>
      </x:c>
      <x:c r="E17" s="16">
        <x:f>E16/$F$16</x:f>
        <x:v>0.1252726706138984</x:v>
      </x:c>
      <x:c r="F17" s="17" t="n">
        <x:v>1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52a1e495bb1d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24" customHeight="1">
      <x:c r="A1" s="1" t="inlineStr">
        <x:is>
          <x:t xml:space="preserve">2. feladat – Diagramok (Könyvtár)</x:t>
        </x:is>
      </x:c>
    </x:row>
    <x:row r="2" ht="18" customHeight="1">
      <x:c r="A2" s="2" t="inlineStr">
        <x:is>
          <x:t xml:space="preserve">A diagramokat a „2_Adatok_Konyvtar” lapon lévő táblázatból készítsd.</x:t>
        </x:is>
      </x:c>
    </x:row>
    <x:row r="4">
      <x:c r="A4" s="3" t="inlineStr">
        <x:is>
          <x:t xml:space="preserve">1) Készíts egy Halmozott oszlopdiagramot a havi kölcsönzésekről műfaj szerint!</x:t>
        </x:is>
      </x:c>
    </x:row>
    <x:row r="5">
      <x:c r="A5" s="3" t="inlineStr">
        <x:is>
          <x:t xml:space="preserve">   • Adattartomány: A3:E15 (hónap + 4 műfaj).</x:t>
        </x:is>
      </x:c>
    </x:row>
    <x:row r="6">
      <x:c r="A6" s="3" t="inlineStr">
        <x:is>
          <x:t xml:space="preserve">   • Formázás: diagramcím: „Havi kölcsönzések műfaj szerint”; jelmagyarázat alul; Y-tengely 0-tól induljon.</x:t>
        </x:is>
      </x:c>
    </x:row>
    <x:row r="7">
      <x:c r="A7" s="3" t="inlineStr">
        <x:is>
          <x:t xml:space="preserve"/>
        </x:is>
      </x:c>
    </x:row>
    <x:row r="8">
      <x:c r="A8" s="3" t="inlineStr">
        <x:is>
          <x:t xml:space="preserve">2) Készíts egy Területdiagramot (Area chart) az Összes kölcsönzés alakulásáról!</x:t>
        </x:is>
      </x:c>
    </x:row>
    <x:row r="9">
      <x:c r="A9" s="3" t="inlineStr">
        <x:is>
          <x:t xml:space="preserve">   • Adattartomány: A3:A15 és F3:F15.</x:t>
        </x:is>
      </x:c>
    </x:row>
    <x:row r="10">
      <x:c r="A10" s="3" t="inlineStr">
        <x:is>
          <x:t xml:space="preserve">   • Formázás: halvány kitöltés; adatfelirat minden 3. hónapnál; tengelycímek (X: Hónap, Y: Kölcsönzés (db)).</x:t>
        </x:is>
      </x:c>
    </x:row>
    <x:row r="11">
      <x:c r="A11" s="3" t="inlineStr">
        <x:is>
          <x:t xml:space="preserve"/>
        </x:is>
      </x:c>
    </x:row>
    <x:row r="12">
      <x:c r="A12" s="3" t="inlineStr">
        <x:is>
          <x:t xml:space="preserve">3) Készíts egy Fánkdiagramot (Doughnut chart) az éves műfajmegoszlásról!</x:t>
        </x:is>
      </x:c>
    </x:row>
    <x:row r="13">
      <x:c r="A13" s="3" t="inlineStr">
        <x:is>
          <x:t xml:space="preserve">   • Adattartomány: B16:E16 (Éves összesen).</x:t>
        </x:is>
      </x:c>
    </x:row>
    <x:row r="14">
      <x:c r="A14" s="3" t="inlineStr">
        <x:is>
          <x:t xml:space="preserve">   • Formázás: százalékos adatfeliratok; középen 40–50% „lyuk” (alap beállítás); a legkisebb szelet kiemelve.</x:t>
        </x:is>
      </x:c>
    </x:row>
    <x:row r="15">
      <x:c r="A15" s="3" t="inlineStr">
        <x:is>
          <x:t xml:space="preserve"/>
        </x:is>
      </x:c>
    </x:row>
    <x:row r="16">
      <x:c r="A16" s="3" t="inlineStr">
        <x:is>
          <x:t xml:space="preserve">+ Extra: a 17. sor „Éves arány” százalékai egyezzenek a fánkdiagram felirataival.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customWidth="1"/>
    <x:col min="2" max="2" width="10" customWidth="1"/>
    <x:col min="3" max="3" width="23" customWidth="1"/>
    <x:col min="4" max="4" width="24" customWidth="1"/>
    <x:col min="5" max="5" width="21" customWidth="1"/>
    <x:col min="6" max="6" width="41" customWidth="1"/>
    <x:col min="7" max="7" width="10" customWidth="1"/>
    <x:col min="8" max="8" width="17" customWidth="1"/>
    <x:col min="9" max="9" width="38" customWidth="1"/>
    <x:col min="10" max="10" width="38" customWidth="1"/>
  </x:cols>
  <x:sheetData>
    <x:row r="1" ht="24" customHeight="1">
      <x:c r="A1" s="1" t="inlineStr">
        <x:is>
          <x:t xml:space="preserve">3. feladat – Időjárás és energiafogyasztás</x:t>
        </x:is>
      </x:c>
    </x:row>
    <x:row r="2" ht="18" customHeight="1">
      <x:c r="A2" s="2" t="inlineStr">
        <x:is>
          <x:t xml:space="preserve">Napi adatok 4 hétre; a cél az összefüggések és trendek vizualizálása.</x:t>
        </x:is>
      </x:c>
    </x:row>
    <x:row r="3">
      <x:c r="A3" s="4" t="inlineStr">
        <x:is>
          <x:t xml:space="preserve">Dátum</x:t>
        </x:is>
      </x:c>
      <x:c r="B3" s="4" t="inlineStr">
        <x:is>
          <x:t xml:space="preserve">Nap</x:t>
        </x:is>
      </x:c>
      <x:c r="C3" s="4" t="inlineStr">
        <x:is>
          <x:t xml:space="preserve">Átlaghőmérséklet (°C)</x:t>
        </x:is>
      </x:c>
      <x:c r="D3" s="4" t="inlineStr">
        <x:is>
          <x:t xml:space="preserve">Villamos energia (kWh)</x:t>
        </x:is>
      </x:c>
      <x:c r="E3" s="4" t="inlineStr">
        <x:is>
          <x:t xml:space="preserve">Hét</x:t>
        </x:is>
      </x:c>
      <x:c r="F3" s="4" t="inlineStr">
        <x:is>
          <x:t xml:space="preserve">Hétvége?</x:t>
        </x:is>
      </x:c>
      <x:c r="H3" s="5" t="inlineStr">
        <x:is>
          <x:t xml:space="preserve">Heti összesítés</x:t>
        </x:is>
      </x:c>
    </x:row>
    <x:row r="4">
      <x:c r="A4" s="18" t="n">
        <x:v>46027</x:v>
      </x:c>
      <x:c r="B4" s="6" t="inlineStr">
        <x:is>
          <x:t xml:space="preserve">H</x:t>
        </x:is>
      </x:c>
      <x:c r="C4" s="19" t="n">
        <x:v>0.8</x:v>
      </x:c>
      <x:c r="D4" s="19" t="n">
        <x:v>31.5</x:v>
      </x:c>
      <x:c r="E4" s="20">
        <x:f>INT((ROW()-4)/7)+1</x:f>
        <x:v>1</x:v>
      </x:c>
      <x:c r="F4" s="21" t="str">
        <x:f>IF(OR(B4="Szo",B4="V"),"Igen","Nem")</x:f>
        <x:v>Nem</x:v>
      </x:c>
      <x:c r="H4" s="4" t="inlineStr">
        <x:is>
          <x:t xml:space="preserve">Hét</x:t>
        </x:is>
      </x:c>
      <x:c r="I4" s="4" t="inlineStr">
        <x:is>
          <x:t xml:space="preserve">Átlaghőmérséklet (°C)</x:t>
        </x:is>
      </x:c>
      <x:c r="J4" s="4" t="inlineStr">
        <x:is>
          <x:t xml:space="preserve">Átlagfogyasztás (kWh)</x:t>
        </x:is>
      </x:c>
    </x:row>
    <x:row r="5">
      <x:c r="A5" s="18" t="n">
        <x:v>46028</x:v>
      </x:c>
      <x:c r="B5" s="6" t="inlineStr">
        <x:is>
          <x:t xml:space="preserve">K</x:t>
        </x:is>
      </x:c>
      <x:c r="C5" s="19" t="n">
        <x:v>3.8</x:v>
      </x:c>
      <x:c r="D5" s="19" t="n">
        <x:v>27.2</x:v>
      </x:c>
      <x:c r="E5" s="20">
        <x:f>INT((ROW()-4)/7)+1</x:f>
        <x:v>1</x:v>
      </x:c>
      <x:c r="F5" s="21" t="str">
        <x:f>IF(OR(B5="Szo",B5="V"),"Igen","Nem")</x:f>
        <x:v>Nem</x:v>
      </x:c>
      <x:c r="H5" s="22" t="n">
        <x:v>1</x:v>
      </x:c>
      <x:c r="I5" s="19">
        <x:f>AVERAGEIF($E$4:$E$31,H5,$C$4:$C$31)</x:f>
        <x:v>5.071428571428571</x:v>
      </x:c>
      <x:c r="J5" s="19">
        <x:f>AVERAGEIF($E$4:$E$31,H5,$D$4:$D$31)</x:f>
        <x:v>25.54285714285714</x:v>
      </x:c>
    </x:row>
    <x:row r="6">
      <x:c r="A6" s="18" t="n">
        <x:v>46029</x:v>
      </x:c>
      <x:c r="B6" s="6" t="inlineStr">
        <x:is>
          <x:t xml:space="preserve">Sze</x:t>
        </x:is>
      </x:c>
      <x:c r="C6" s="19" t="n">
        <x:v>3.6</x:v>
      </x:c>
      <x:c r="D6" s="19" t="n">
        <x:v>28.2</x:v>
      </x:c>
      <x:c r="E6" s="20">
        <x:f>INT((ROW()-4)/7)+1</x:f>
        <x:v>1</x:v>
      </x:c>
      <x:c r="F6" s="21" t="str">
        <x:f>IF(OR(B6="Szo",B6="V"),"Igen","Nem")</x:f>
        <x:v>Nem</x:v>
      </x:c>
      <x:c r="H6" s="22" t="n">
        <x:v>2</x:v>
      </x:c>
      <x:c r="I6" s="19">
        <x:f>AVERAGEIF($E$4:$E$31,H6,$C$4:$C$31)</x:f>
        <x:v>6.700000000000001</x:v>
      </x:c>
      <x:c r="J6" s="19">
        <x:f>AVERAGEIF($E$4:$E$31,H6,$D$4:$D$31)</x:f>
        <x:v>23.271428571428572</x:v>
      </x:c>
    </x:row>
    <x:row r="7">
      <x:c r="A7" s="18" t="n">
        <x:v>46030</x:v>
      </x:c>
      <x:c r="B7" s="6" t="inlineStr">
        <x:is>
          <x:t xml:space="preserve">Cs</x:t>
        </x:is>
      </x:c>
      <x:c r="C7" s="19" t="n">
        <x:v>6.8</x:v>
      </x:c>
      <x:c r="D7" s="19" t="n">
        <x:v>23.5</x:v>
      </x:c>
      <x:c r="E7" s="20">
        <x:f>INT((ROW()-4)/7)+1</x:f>
        <x:v>1</x:v>
      </x:c>
      <x:c r="F7" s="21" t="str">
        <x:f>IF(OR(B7="Szo",B7="V"),"Igen","Nem")</x:f>
        <x:v>Nem</x:v>
      </x:c>
      <x:c r="H7" s="22" t="n">
        <x:v>3</x:v>
      </x:c>
      <x:c r="I7" s="19">
        <x:f>AVERAGEIF($E$4:$E$31,H7,$C$4:$C$31)</x:f>
        <x:v>-1.6714285714285713</x:v>
      </x:c>
      <x:c r="J7" s="19">
        <x:f>AVERAGEIF($E$4:$E$31,H7,$D$4:$D$31)</x:f>
        <x:v>34</x:v>
      </x:c>
    </x:row>
    <x:row r="8">
      <x:c r="A8" s="18" t="n">
        <x:v>46031</x:v>
      </x:c>
      <x:c r="B8" s="6" t="inlineStr">
        <x:is>
          <x:t xml:space="preserve">P</x:t>
        </x:is>
      </x:c>
      <x:c r="C8" s="19" t="n">
        <x:v>6.7</x:v>
      </x:c>
      <x:c r="D8" s="19" t="n">
        <x:v>23</x:v>
      </x:c>
      <x:c r="E8" s="20">
        <x:f>INT((ROW()-4)/7)+1</x:f>
        <x:v>1</x:v>
      </x:c>
      <x:c r="F8" s="21" t="str">
        <x:f>IF(OR(B8="Szo",B8="V"),"Igen","Nem")</x:f>
        <x:v>Nem</x:v>
      </x:c>
      <x:c r="H8" s="22" t="n">
        <x:v>4</x:v>
      </x:c>
      <x:c r="I8" s="19">
        <x:f>AVERAGEIF($E$4:$E$31,H8,$C$4:$C$31)</x:f>
        <x:v>-1.6857142857142853</x:v>
      </x:c>
      <x:c r="J8" s="19">
        <x:f>AVERAGEIF($E$4:$E$31,H8,$D$4:$D$31)</x:f>
        <x:v>34.385714285714286</x:v>
      </x:c>
    </x:row>
    <x:row r="9">
      <x:c r="A9" s="18" t="n">
        <x:v>46032</x:v>
      </x:c>
      <x:c r="B9" s="6" t="inlineStr">
        <x:is>
          <x:t xml:space="preserve">Szo</x:t>
        </x:is>
      </x:c>
      <x:c r="C9" s="19" t="n">
        <x:v>5.6</x:v>
      </x:c>
      <x:c r="D9" s="19" t="n">
        <x:v>24.7</x:v>
      </x:c>
      <x:c r="E9" s="20">
        <x:f>INT((ROW()-4)/7)+1</x:f>
        <x:v>1</x:v>
      </x:c>
      <x:c r="F9" s="21" t="str">
        <x:f>IF(OR(B9="Szo",B9="V"),"Igen","Nem")</x:f>
        <x:v>Igen</x:v>
      </x:c>
    </x:row>
    <x:row r="10">
      <x:c r="A10" s="18" t="n">
        <x:v>46033</x:v>
      </x:c>
      <x:c r="B10" s="6" t="inlineStr">
        <x:is>
          <x:t xml:space="preserve">V</x:t>
        </x:is>
      </x:c>
      <x:c r="C10" s="19" t="n">
        <x:v>8.199999999999999</x:v>
      </x:c>
      <x:c r="D10" s="19" t="n">
        <x:v>20.7</x:v>
      </x:c>
      <x:c r="E10" s="20">
        <x:f>INT((ROW()-4)/7)+1</x:f>
        <x:v>1</x:v>
      </x:c>
      <x:c r="F10" s="21" t="str">
        <x:f>IF(OR(B10="Szo",B10="V"),"Igen","Nem")</x:f>
        <x:v>Igen</x:v>
      </x:c>
    </x:row>
    <x:row r="11">
      <x:c r="A11" s="18" t="n">
        <x:v>46034</x:v>
      </x:c>
      <x:c r="B11" s="6" t="inlineStr">
        <x:is>
          <x:t xml:space="preserve">H</x:t>
        </x:is>
      </x:c>
      <x:c r="C11" s="19" t="n">
        <x:v>9.1</x:v>
      </x:c>
      <x:c r="D11" s="19" t="n">
        <x:v>20</x:v>
      </x:c>
      <x:c r="E11" s="20">
        <x:f>INT((ROW()-4)/7)+1</x:f>
        <x:v>2</x:v>
      </x:c>
      <x:c r="F11" s="21" t="str">
        <x:f>IF(OR(B11="Szo",B11="V"),"Igen","Nem")</x:f>
        <x:v>Nem</x:v>
      </x:c>
    </x:row>
    <x:row r="12">
      <x:c r="A12" s="18" t="n">
        <x:v>46035</x:v>
      </x:c>
      <x:c r="B12" s="6" t="inlineStr">
        <x:is>
          <x:t xml:space="preserve">K</x:t>
        </x:is>
      </x:c>
      <x:c r="C12" s="19" t="n">
        <x:v>6.9</x:v>
      </x:c>
      <x:c r="D12" s="19" t="n">
        <x:v>22.3</x:v>
      </x:c>
      <x:c r="E12" s="20">
        <x:f>INT((ROW()-4)/7)+1</x:f>
        <x:v>2</x:v>
      </x:c>
      <x:c r="F12" s="21" t="str">
        <x:f>IF(OR(B12="Szo",B12="V"),"Igen","Nem")</x:f>
        <x:v>Nem</x:v>
      </x:c>
    </x:row>
    <x:row r="13">
      <x:c r="A13" s="18" t="n">
        <x:v>46036</x:v>
      </x:c>
      <x:c r="B13" s="6" t="inlineStr">
        <x:is>
          <x:t xml:space="preserve">Sze</x:t>
        </x:is>
      </x:c>
      <x:c r="C13" s="19" t="n">
        <x:v>9.199999999999999</x:v>
      </x:c>
      <x:c r="D13" s="19" t="n">
        <x:v>21.1</x:v>
      </x:c>
      <x:c r="E13" s="20">
        <x:f>INT((ROW()-4)/7)+1</x:f>
        <x:v>2</x:v>
      </x:c>
      <x:c r="F13" s="21" t="str">
        <x:f>IF(OR(B13="Szo",B13="V"),"Igen","Nem")</x:f>
        <x:v>Nem</x:v>
      </x:c>
    </x:row>
    <x:row r="14">
      <x:c r="A14" s="18" t="n">
        <x:v>46037</x:v>
      </x:c>
      <x:c r="B14" s="6" t="inlineStr">
        <x:is>
          <x:t xml:space="preserve">Cs</x:t>
        </x:is>
      </x:c>
      <x:c r="C14" s="19" t="n">
        <x:v>8</x:v>
      </x:c>
      <x:c r="D14" s="19" t="n">
        <x:v>22.3</x:v>
      </x:c>
      <x:c r="E14" s="20">
        <x:f>INT((ROW()-4)/7)+1</x:f>
        <x:v>2</x:v>
      </x:c>
      <x:c r="F14" s="21" t="str">
        <x:f>IF(OR(B14="Szo",B14="V"),"Igen","Nem")</x:f>
        <x:v>Nem</x:v>
      </x:c>
    </x:row>
    <x:row r="15">
      <x:c r="A15" s="18" t="n">
        <x:v>46038</x:v>
      </x:c>
      <x:c r="B15" s="6" t="inlineStr">
        <x:is>
          <x:t xml:space="preserve">P</x:t>
        </x:is>
      </x:c>
      <x:c r="C15" s="19" t="n">
        <x:v>4.1</x:v>
      </x:c>
      <x:c r="D15" s="19" t="n">
        <x:v>26.5</x:v>
      </x:c>
      <x:c r="E15" s="20">
        <x:f>INT((ROW()-4)/7)+1</x:f>
        <x:v>2</x:v>
      </x:c>
      <x:c r="F15" s="21" t="str">
        <x:f>IF(OR(B15="Szo",B15="V"),"Igen","Nem")</x:f>
        <x:v>Nem</x:v>
      </x:c>
    </x:row>
    <x:row r="16">
      <x:c r="A16" s="18" t="n">
        <x:v>46039</x:v>
      </x:c>
      <x:c r="B16" s="6" t="inlineStr">
        <x:is>
          <x:t xml:space="preserve">Szo</x:t>
        </x:is>
      </x:c>
      <x:c r="C16" s="19" t="n">
        <x:v>4.6</x:v>
      </x:c>
      <x:c r="D16" s="19" t="n">
        <x:v>25.3</x:v>
      </x:c>
      <x:c r="E16" s="20">
        <x:f>INT((ROW()-4)/7)+1</x:f>
        <x:v>2</x:v>
      </x:c>
      <x:c r="F16" s="21" t="str">
        <x:f>IF(OR(B16="Szo",B16="V"),"Igen","Nem")</x:f>
        <x:v>Igen</x:v>
      </x:c>
    </x:row>
    <x:row r="17">
      <x:c r="A17" s="18" t="n">
        <x:v>46040</x:v>
      </x:c>
      <x:c r="B17" s="6" t="inlineStr">
        <x:is>
          <x:t xml:space="preserve">V</x:t>
        </x:is>
      </x:c>
      <x:c r="C17" s="19" t="n">
        <x:v>5</x:v>
      </x:c>
      <x:c r="D17" s="19" t="n">
        <x:v>25.4</x:v>
      </x:c>
      <x:c r="E17" s="20">
        <x:f>INT((ROW()-4)/7)+1</x:f>
        <x:v>2</x:v>
      </x:c>
      <x:c r="F17" s="21" t="str">
        <x:f>IF(OR(B17="Szo",B17="V"),"Igen","Nem")</x:f>
        <x:v>Igen</x:v>
      </x:c>
    </x:row>
    <x:row r="18">
      <x:c r="A18" s="18" t="n">
        <x:v>46041</x:v>
      </x:c>
      <x:c r="B18" s="6" t="inlineStr">
        <x:is>
          <x:t xml:space="preserve">H</x:t>
        </x:is>
      </x:c>
      <x:c r="C18" s="19" t="n">
        <x:v>0.8</x:v>
      </x:c>
      <x:c r="D18" s="19" t="n">
        <x:v>31.8</x:v>
      </x:c>
      <x:c r="E18" s="20">
        <x:f>INT((ROW()-4)/7)+1</x:f>
        <x:v>3</x:v>
      </x:c>
      <x:c r="F18" s="21" t="str">
        <x:f>IF(OR(B18="Szo",B18="V"),"Igen","Nem")</x:f>
        <x:v>Nem</x:v>
      </x:c>
    </x:row>
    <x:row r="19">
      <x:c r="A19" s="18" t="n">
        <x:v>46042</x:v>
      </x:c>
      <x:c r="B19" s="6" t="inlineStr">
        <x:is>
          <x:t xml:space="preserve">K</x:t>
        </x:is>
      </x:c>
      <x:c r="C19" s="19" t="n">
        <x:v>-0.7</x:v>
      </x:c>
      <x:c r="D19" s="19" t="n">
        <x:v>33.9</x:v>
      </x:c>
      <x:c r="E19" s="20">
        <x:f>INT((ROW()-4)/7)+1</x:f>
        <x:v>3</x:v>
      </x:c>
      <x:c r="F19" s="21" t="str">
        <x:f>IF(OR(B19="Szo",B19="V"),"Igen","Nem")</x:f>
        <x:v>Nem</x:v>
      </x:c>
    </x:row>
    <x:row r="20">
      <x:c r="A20" s="18" t="n">
        <x:v>46043</x:v>
      </x:c>
      <x:c r="B20" s="6" t="inlineStr">
        <x:is>
          <x:t xml:space="preserve">Sze</x:t>
        </x:is>
      </x:c>
      <x:c r="C20" s="19" t="n">
        <x:v>-0.8</x:v>
      </x:c>
      <x:c r="D20" s="19" t="n">
        <x:v>33.1</x:v>
      </x:c>
      <x:c r="E20" s="20">
        <x:f>INT((ROW()-4)/7)+1</x:f>
        <x:v>3</x:v>
      </x:c>
      <x:c r="F20" s="21" t="str">
        <x:f>IF(OR(B20="Szo",B20="V"),"Igen","Nem")</x:f>
        <x:v>Nem</x:v>
      </x:c>
    </x:row>
    <x:row r="21">
      <x:c r="A21" s="18" t="n">
        <x:v>46044</x:v>
      </x:c>
      <x:c r="B21" s="6" t="inlineStr">
        <x:is>
          <x:t xml:space="preserve">Cs</x:t>
        </x:is>
      </x:c>
      <x:c r="C21" s="19" t="n">
        <x:v>-2.3</x:v>
      </x:c>
      <x:c r="D21" s="19" t="n">
        <x:v>34.8</x:v>
      </x:c>
      <x:c r="E21" s="20">
        <x:f>INT((ROW()-4)/7)+1</x:f>
        <x:v>3</x:v>
      </x:c>
      <x:c r="F21" s="21" t="str">
        <x:f>IF(OR(B21="Szo",B21="V"),"Igen","Nem")</x:f>
        <x:v>Nem</x:v>
      </x:c>
    </x:row>
    <x:row r="22">
      <x:c r="A22" s="18" t="n">
        <x:v>46045</x:v>
      </x:c>
      <x:c r="B22" s="6" t="inlineStr">
        <x:is>
          <x:t xml:space="preserve">P</x:t>
        </x:is>
      </x:c>
      <x:c r="C22" s="19" t="n">
        <x:v>-3.8</x:v>
      </x:c>
      <x:c r="D22" s="19" t="n">
        <x:v>35.6</x:v>
      </x:c>
      <x:c r="E22" s="20">
        <x:f>INT((ROW()-4)/7)+1</x:f>
        <x:v>3</x:v>
      </x:c>
      <x:c r="F22" s="21" t="str">
        <x:f>IF(OR(B22="Szo",B22="V"),"Igen","Nem")</x:f>
        <x:v>Nem</x:v>
      </x:c>
    </x:row>
    <x:row r="23">
      <x:c r="A23" s="18" t="n">
        <x:v>46046</x:v>
      </x:c>
      <x:c r="B23" s="6" t="inlineStr">
        <x:is>
          <x:t xml:space="preserve">Szo</x:t>
        </x:is>
      </x:c>
      <x:c r="C23" s="19" t="n">
        <x:v>-2.1</x:v>
      </x:c>
      <x:c r="D23" s="19" t="n">
        <x:v>34</x:v>
      </x:c>
      <x:c r="E23" s="20">
        <x:f>INT((ROW()-4)/7)+1</x:f>
        <x:v>3</x:v>
      </x:c>
      <x:c r="F23" s="21" t="str">
        <x:f>IF(OR(B23="Szo",B23="V"),"Igen","Nem")</x:f>
        <x:v>Igen</x:v>
      </x:c>
    </x:row>
    <x:row r="24">
      <x:c r="A24" s="18" t="n">
        <x:v>46047</x:v>
      </x:c>
      <x:c r="B24" s="6" t="inlineStr">
        <x:is>
          <x:t xml:space="preserve">V</x:t>
        </x:is>
      </x:c>
      <x:c r="C24" s="19" t="n">
        <x:v>-2.8</x:v>
      </x:c>
      <x:c r="D24" s="19" t="n">
        <x:v>34.8</x:v>
      </x:c>
      <x:c r="E24" s="20">
        <x:f>INT((ROW()-4)/7)+1</x:f>
        <x:v>3</x:v>
      </x:c>
      <x:c r="F24" s="21" t="str">
        <x:f>IF(OR(B24="Szo",B24="V"),"Igen","Nem")</x:f>
        <x:v>Igen</x:v>
      </x:c>
    </x:row>
    <x:row r="25">
      <x:c r="A25" s="18" t="n">
        <x:v>46048</x:v>
      </x:c>
      <x:c r="B25" s="6" t="inlineStr">
        <x:is>
          <x:t xml:space="preserve">H</x:t>
        </x:is>
      </x:c>
      <x:c r="C25" s="19" t="n">
        <x:v>-2.3</x:v>
      </x:c>
      <x:c r="D25" s="19" t="n">
        <x:v>35.8</x:v>
      </x:c>
      <x:c r="E25" s="20">
        <x:f>INT((ROW()-4)/7)+1</x:f>
        <x:v>4</x:v>
      </x:c>
      <x:c r="F25" s="21" t="str">
        <x:f>IF(OR(B25="Szo",B25="V"),"Igen","Nem")</x:f>
        <x:v>Nem</x:v>
      </x:c>
    </x:row>
    <x:row r="26">
      <x:c r="A26" s="18" t="n">
        <x:v>46049</x:v>
      </x:c>
      <x:c r="B26" s="6" t="inlineStr">
        <x:is>
          <x:t xml:space="preserve">K</x:t>
        </x:is>
      </x:c>
      <x:c r="C26" s="19" t="n">
        <x:v>-2.9</x:v>
      </x:c>
      <x:c r="D26" s="19" t="n">
        <x:v>36.3</x:v>
      </x:c>
      <x:c r="E26" s="20">
        <x:f>INT((ROW()-4)/7)+1</x:f>
        <x:v>4</x:v>
      </x:c>
      <x:c r="F26" s="21" t="str">
        <x:f>IF(OR(B26="Szo",B26="V"),"Igen","Nem")</x:f>
        <x:v>Nem</x:v>
      </x:c>
    </x:row>
    <x:row r="27">
      <x:c r="A27" s="18" t="n">
        <x:v>46050</x:v>
      </x:c>
      <x:c r="B27" s="6" t="inlineStr">
        <x:is>
          <x:t xml:space="preserve">Sze</x:t>
        </x:is>
      </x:c>
      <x:c r="C27" s="19" t="n">
        <x:v>-3.1</x:v>
      </x:c>
      <x:c r="D27" s="19" t="n">
        <x:v>36.4</x:v>
      </x:c>
      <x:c r="E27" s="20">
        <x:f>INT((ROW()-4)/7)+1</x:f>
        <x:v>4</x:v>
      </x:c>
      <x:c r="F27" s="21" t="str">
        <x:f>IF(OR(B27="Szo",B27="V"),"Igen","Nem")</x:f>
        <x:v>Nem</x:v>
      </x:c>
    </x:row>
    <x:row r="28">
      <x:c r="A28" s="18" t="n">
        <x:v>46051</x:v>
      </x:c>
      <x:c r="B28" s="6" t="inlineStr">
        <x:is>
          <x:t xml:space="preserve">Cs</x:t>
        </x:is>
      </x:c>
      <x:c r="C28" s="19" t="n">
        <x:v>-4.1</x:v>
      </x:c>
      <x:c r="D28" s="19" t="n">
        <x:v>37.1</x:v>
      </x:c>
      <x:c r="E28" s="20">
        <x:f>INT((ROW()-4)/7)+1</x:f>
        <x:v>4</x:v>
      </x:c>
      <x:c r="F28" s="21" t="str">
        <x:f>IF(OR(B28="Szo",B28="V"),"Igen","Nem")</x:f>
        <x:v>Nem</x:v>
      </x:c>
    </x:row>
    <x:row r="29">
      <x:c r="A29" s="18" t="n">
        <x:v>46052</x:v>
      </x:c>
      <x:c r="B29" s="6" t="inlineStr">
        <x:is>
          <x:t xml:space="preserve">P</x:t>
        </x:is>
      </x:c>
      <x:c r="C29" s="19" t="n">
        <x:v>-0.6</x:v>
      </x:c>
      <x:c r="D29" s="19" t="n">
        <x:v>32</x:v>
      </x:c>
      <x:c r="E29" s="20">
        <x:f>INT((ROW()-4)/7)+1</x:f>
        <x:v>4</x:v>
      </x:c>
      <x:c r="F29" s="21" t="str">
        <x:f>IF(OR(B29="Szo",B29="V"),"Igen","Nem")</x:f>
        <x:v>Nem</x:v>
      </x:c>
    </x:row>
    <x:row r="30">
      <x:c r="A30" s="18" t="n">
        <x:v>46053</x:v>
      </x:c>
      <x:c r="B30" s="6" t="inlineStr">
        <x:is>
          <x:t xml:space="preserve">Szo</x:t>
        </x:is>
      </x:c>
      <x:c r="C30" s="19" t="n">
        <x:v>0.9</x:v>
      </x:c>
      <x:c r="D30" s="19" t="n">
        <x:v>31.8</x:v>
      </x:c>
      <x:c r="E30" s="20">
        <x:f>INT((ROW()-4)/7)+1</x:f>
        <x:v>4</x:v>
      </x:c>
      <x:c r="F30" s="21" t="str">
        <x:f>IF(OR(B30="Szo",B30="V"),"Igen","Nem")</x:f>
        <x:v>Igen</x:v>
      </x:c>
    </x:row>
    <x:row r="31">
      <x:c r="A31" s="18" t="n">
        <x:v>46054</x:v>
      </x:c>
      <x:c r="B31" s="6" t="inlineStr">
        <x:is>
          <x:t xml:space="preserve">V</x:t>
        </x:is>
      </x:c>
      <x:c r="C31" s="19" t="n">
        <x:v>0.3</x:v>
      </x:c>
      <x:c r="D31" s="19" t="n">
        <x:v>31.3</x:v>
      </x:c>
      <x:c r="E31" s="20">
        <x:f>INT((ROW()-4)/7)+1</x:f>
        <x:v>4</x:v>
      </x:c>
      <x:c r="F31" s="21" t="str">
        <x:f>IF(OR(B31="Szo",B31="V"),"Igen","Nem")</x:f>
        <x:v>Igen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cf16a511f64f4f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customWidth="1"/>
  </x:cols>
  <x:sheetData>
    <x:row r="1" ht="24" customHeight="1">
      <x:c r="A1" s="1" t="inlineStr">
        <x:is>
          <x:t xml:space="preserve">3. feladat – Diagramok (Időjárás &amp; fogyasztás)</x:t>
        </x:is>
      </x:c>
    </x:row>
    <x:row r="2" ht="18" customHeight="1">
      <x:c r="A2" s="2" t="inlineStr">
        <x:is>
          <x:t xml:space="preserve">A diagramokat a „3_Adatok_Idojaras” lapon lévő adatokból készítsd.</x:t>
        </x:is>
      </x:c>
    </x:row>
    <x:row r="4">
      <x:c r="A4" s="3" t="inlineStr">
        <x:is>
          <x:t xml:space="preserve">1) Készíts egy Kombinált diagramot (Oszlop + Vonal) a napi adatokra!</x:t>
        </x:is>
      </x:c>
    </x:row>
    <x:row r="5">
      <x:c r="A5" s="3" t="inlineStr">
        <x:is>
          <x:t xml:space="preserve">   • Oszlop: Villamos energia (kWh) – D oszlop.</x:t>
        </x:is>
      </x:c>
    </x:row>
    <x:row r="6">
      <x:c r="A6" s="3" t="inlineStr">
        <x:is>
          <x:t xml:space="preserve">   • Vonal: Átlaghőmérséklet (°C) – C oszlop (ha kell, másodlagos tengelyen).</x:t>
        </x:is>
      </x:c>
    </x:row>
    <x:row r="7">
      <x:c r="A7" s="3" t="inlineStr">
        <x:is>
          <x:t xml:space="preserve">   • X tengely: Dátum (A oszlop).</x:t>
        </x:is>
      </x:c>
    </x:row>
    <x:row r="8">
      <x:c r="A8" s="3" t="inlineStr">
        <x:is>
          <x:t xml:space="preserve">   • Formázás: diagramcím: „Napi fogyasztás és hőmérséklet”; tengelycímek; jelmagyarázat felül.</x:t>
        </x:is>
      </x:c>
    </x:row>
    <x:row r="9">
      <x:c r="A9" s="3" t="inlineStr">
        <x:is>
          <x:t xml:space="preserve"/>
        </x:is>
      </x:c>
    </x:row>
    <x:row r="10">
      <x:c r="A10" s="3" t="inlineStr">
        <x:is>
          <x:t xml:space="preserve">2) Készíts egy Szórásdiagramot (Scatter) a hőmérséklet és fogyasztás kapcsolatáról!</x:t>
        </x:is>
      </x:c>
    </x:row>
    <x:row r="11">
      <x:c r="A11" s="3" t="inlineStr">
        <x:is>
          <x:t xml:space="preserve">   • X: Átlaghőmérséklet (C4:C31), Y: Villamos energia (D4:D31).</x:t>
        </x:is>
      </x:c>
    </x:row>
    <x:row r="12">
      <x:c r="A12" s="3" t="inlineStr">
        <x:is>
          <x:t xml:space="preserve">   • Formázás: adj hozzá trendvonalat; jelenítsd meg az egyenletet és az R² értéket; pontok mérete legyen kisebb.</x:t>
        </x:is>
      </x:c>
    </x:row>
    <x:row r="13">
      <x:c r="A13" s="3" t="inlineStr">
        <x:is>
          <x:t xml:space="preserve"/>
        </x:is>
      </x:c>
    </x:row>
    <x:row r="14">
      <x:c r="A14" s="3" t="inlineStr">
        <x:is>
          <x:t xml:space="preserve">3) Készíts egy Oszlopdiagramot a heti átlagfogyasztásról!</x:t>
        </x:is>
      </x:c>
    </x:row>
    <x:row r="15">
      <x:c r="A15" s="3" t="inlineStr">
        <x:is>
          <x:t xml:space="preserve">   • Használd a „Heti összesítés” táblát: H4:H8 és J4:J8.</x:t>
        </x:is>
      </x:c>
    </x:row>
    <x:row r="16">
      <x:c r="A16" s="3" t="inlineStr">
        <x:is>
          <x:t xml:space="preserve">   • Formázás: adatfeliratok BE; Y-tengely 0-tól; diagramcím: „Heti átlagfogyasztás (kWh)”.</x:t>
        </x:is>
      </x:c>
    </x:row>
    <x:row r="17">
      <x:c r="A17" s="3" t="inlineStr">
        <x:is>
          <x:t xml:space="preserve"/>
        </x:is>
      </x:c>
    </x:row>
    <x:row r="18">
      <x:c r="A18" s="3" t="inlineStr">
        <x:is>
          <x:t xml:space="preserve">+ Extra: színezd ki (feltételes formázással) a D oszlopot úgy, hogy a 30 kWh feletti napok kiemelést kapjanak.</x:t>
        </x:is>
      </x:c>
    </x:row>
  </x:sheetData>
  <x:mergeCells>
    <x:mergeCell ref="A2:H2"/>
    <x:mergeCell ref="A1:H1"/>
  </x:mergeCells>
  <x:pageMargins left="0.7" right="0.7" top="0.75" bottom="0.75" header="0.3" footer="0.3"/>
</x:worksheet>
</file>